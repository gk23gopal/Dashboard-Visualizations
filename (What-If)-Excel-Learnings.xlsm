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enakshi Ganesh\Downloads\1-Excel-Visualisation\"/>
    </mc:Choice>
  </mc:AlternateContent>
  <xr:revisionPtr revIDLastSave="0" documentId="13_ncr:1_{F914BA74-D34A-48AD-A297-D03D41A559A0}" xr6:coauthVersionLast="47" xr6:coauthVersionMax="47" xr10:uidLastSave="{00000000-0000-0000-0000-000000000000}"/>
  <bookViews>
    <workbookView xWindow="-110" yWindow="-110" windowWidth="19420" windowHeight="10300" tabRatio="806" activeTab="6" xr2:uid="{00000000-000D-0000-FFFF-FFFF00000000}"/>
  </bookViews>
  <sheets>
    <sheet name="what-if-2" sheetId="6" r:id="rId1"/>
    <sheet name="what-if-3" sheetId="3" r:id="rId2"/>
    <sheet name="what-if-4" sheetId="5" r:id="rId3"/>
    <sheet name="NPV" sheetId="9" r:id="rId4"/>
    <sheet name="linearProg-1" sheetId="10" r:id="rId5"/>
    <sheet name="maximise-profit" sheetId="11" r:id="rId6"/>
    <sheet name="fund-allocation" sheetId="12" r:id="rId7"/>
  </sheets>
  <definedNames>
    <definedName name="solver_adj" localSheetId="6" hidden="1">'fund-allocation'!$B$2:$F$2</definedName>
    <definedName name="solver_adj" localSheetId="4" hidden="1">'linearProg-1'!$B$2:$C$2</definedName>
    <definedName name="solver_adj" localSheetId="5" hidden="1">'maximise-profit'!$B$2:$C$2</definedName>
    <definedName name="solver_cvg" localSheetId="6" hidden="1">0.0001</definedName>
    <definedName name="solver_cvg" localSheetId="4" hidden="1">0.0001</definedName>
    <definedName name="solver_cvg" localSheetId="5" hidden="1">0.0001</definedName>
    <definedName name="solver_drv" localSheetId="6" hidden="1">1</definedName>
    <definedName name="solver_drv" localSheetId="4" hidden="1">2</definedName>
    <definedName name="solver_drv" localSheetId="5" hidden="1">1</definedName>
    <definedName name="solver_eng" localSheetId="6" hidden="1">2</definedName>
    <definedName name="solver_eng" localSheetId="4" hidden="1">2</definedName>
    <definedName name="solver_eng" localSheetId="5" hidden="1">2</definedName>
    <definedName name="solver_est" localSheetId="6" hidden="1">1</definedName>
    <definedName name="solver_est" localSheetId="4" hidden="1">1</definedName>
    <definedName name="solver_est" localSheetId="5" hidden="1">1</definedName>
    <definedName name="solver_itr" localSheetId="6" hidden="1">2147483647</definedName>
    <definedName name="solver_itr" localSheetId="4" hidden="1">2147483647</definedName>
    <definedName name="solver_itr" localSheetId="5" hidden="1">2147483647</definedName>
    <definedName name="solver_lhs1" localSheetId="6" hidden="1">'fund-allocation'!$G$15</definedName>
    <definedName name="solver_lhs1" localSheetId="4" hidden="1">'linearProg-1'!$D$10</definedName>
    <definedName name="solver_lhs1" localSheetId="5" hidden="1">'maximise-profit'!$D$14:$D$17</definedName>
    <definedName name="solver_lhs2" localSheetId="6" hidden="1">'fund-allocation'!$G$16</definedName>
    <definedName name="solver_lhs2" localSheetId="4" hidden="1">'linearProg-1'!$D$11</definedName>
    <definedName name="solver_lhs3" localSheetId="6" hidden="1">'fund-allocation'!$G$17</definedName>
    <definedName name="solver_lhs3" localSheetId="4" hidden="1">'linearProg-1'!$D$12</definedName>
    <definedName name="solver_lhs4" localSheetId="6" hidden="1">'fund-allocation'!$G$18</definedName>
    <definedName name="solver_lhs4" localSheetId="4" hidden="1">'linearProg-1'!$D$9</definedName>
    <definedName name="solver_mip" localSheetId="6" hidden="1">2147483647</definedName>
    <definedName name="solver_mip" localSheetId="4" hidden="1">2147483647</definedName>
    <definedName name="solver_mip" localSheetId="5" hidden="1">2147483647</definedName>
    <definedName name="solver_mni" localSheetId="6" hidden="1">30</definedName>
    <definedName name="solver_mni" localSheetId="4" hidden="1">30</definedName>
    <definedName name="solver_mni" localSheetId="5" hidden="1">30</definedName>
    <definedName name="solver_mrt" localSheetId="6" hidden="1">0.075</definedName>
    <definedName name="solver_mrt" localSheetId="4" hidden="1">0.075</definedName>
    <definedName name="solver_mrt" localSheetId="5" hidden="1">0.075</definedName>
    <definedName name="solver_msl" localSheetId="6" hidden="1">2</definedName>
    <definedName name="solver_msl" localSheetId="4" hidden="1">2</definedName>
    <definedName name="solver_msl" localSheetId="5" hidden="1">2</definedName>
    <definedName name="solver_neg" localSheetId="6" hidden="1">1</definedName>
    <definedName name="solver_neg" localSheetId="4" hidden="1">1</definedName>
    <definedName name="solver_neg" localSheetId="5" hidden="1">1</definedName>
    <definedName name="solver_nod" localSheetId="6" hidden="1">2147483647</definedName>
    <definedName name="solver_nod" localSheetId="4" hidden="1">2147483647</definedName>
    <definedName name="solver_nod" localSheetId="5" hidden="1">2147483647</definedName>
    <definedName name="solver_num" localSheetId="6" hidden="1">4</definedName>
    <definedName name="solver_num" localSheetId="4" hidden="1">4</definedName>
    <definedName name="solver_num" localSheetId="5" hidden="1">1</definedName>
    <definedName name="solver_nwt" localSheetId="6" hidden="1">1</definedName>
    <definedName name="solver_nwt" localSheetId="4" hidden="1">1</definedName>
    <definedName name="solver_nwt" localSheetId="5" hidden="1">1</definedName>
    <definedName name="solver_opt" localSheetId="6" hidden="1">'fund-allocation'!$H$2</definedName>
    <definedName name="solver_opt" localSheetId="4" hidden="1">'linearProg-1'!$B$6</definedName>
    <definedName name="solver_opt" localSheetId="5" hidden="1">'maximise-profit'!$D$11</definedName>
    <definedName name="solver_pre" localSheetId="6" hidden="1">0.000001</definedName>
    <definedName name="solver_pre" localSheetId="4" hidden="1">0.000001</definedName>
    <definedName name="solver_pre" localSheetId="5" hidden="1">0.000001</definedName>
    <definedName name="solver_rbv" localSheetId="6" hidden="1">1</definedName>
    <definedName name="solver_rbv" localSheetId="4" hidden="1">2</definedName>
    <definedName name="solver_rbv" localSheetId="5" hidden="1">1</definedName>
    <definedName name="solver_rel1" localSheetId="6" hidden="1">1</definedName>
    <definedName name="solver_rel1" localSheetId="4" hidden="1">3</definedName>
    <definedName name="solver_rel1" localSheetId="5" hidden="1">1</definedName>
    <definedName name="solver_rel2" localSheetId="6" hidden="1">3</definedName>
    <definedName name="solver_rel2" localSheetId="4" hidden="1">3</definedName>
    <definedName name="solver_rel3" localSheetId="6" hidden="1">3</definedName>
    <definedName name="solver_rel3" localSheetId="4" hidden="1">3</definedName>
    <definedName name="solver_rel4" localSheetId="6" hidden="1">1</definedName>
    <definedName name="solver_rel4" localSheetId="4" hidden="1">1</definedName>
    <definedName name="solver_rhs1" localSheetId="6" hidden="1">'fund-allocation'!$I$15</definedName>
    <definedName name="solver_rhs1" localSheetId="4" hidden="1">'linearProg-1'!$F$10</definedName>
    <definedName name="solver_rhs1" localSheetId="5" hidden="1">'maximise-profit'!$F$14:$F$17</definedName>
    <definedName name="solver_rhs2" localSheetId="6" hidden="1">'fund-allocation'!$I$16</definedName>
    <definedName name="solver_rhs2" localSheetId="4" hidden="1">'linearProg-1'!$F$11</definedName>
    <definedName name="solver_rhs3" localSheetId="6" hidden="1">'fund-allocation'!$I$17</definedName>
    <definedName name="solver_rhs3" localSheetId="4" hidden="1">'linearProg-1'!$F$12</definedName>
    <definedName name="solver_rhs4" localSheetId="6" hidden="1">'fund-allocation'!$I$18</definedName>
    <definedName name="solver_rhs4" localSheetId="4" hidden="1">'linearProg-1'!$F$9</definedName>
    <definedName name="solver_rlx" localSheetId="6" hidden="1">2</definedName>
    <definedName name="solver_rlx" localSheetId="4" hidden="1">2</definedName>
    <definedName name="solver_rlx" localSheetId="5" hidden="1">2</definedName>
    <definedName name="solver_rsd" localSheetId="6" hidden="1">0</definedName>
    <definedName name="solver_rsd" localSheetId="4" hidden="1">0</definedName>
    <definedName name="solver_rsd" localSheetId="5" hidden="1">0</definedName>
    <definedName name="solver_scl" localSheetId="6" hidden="1">1</definedName>
    <definedName name="solver_scl" localSheetId="4" hidden="1">2</definedName>
    <definedName name="solver_scl" localSheetId="5" hidden="1">1</definedName>
    <definedName name="solver_sho" localSheetId="6" hidden="1">2</definedName>
    <definedName name="solver_sho" localSheetId="4" hidden="1">2</definedName>
    <definedName name="solver_sho" localSheetId="5" hidden="1">2</definedName>
    <definedName name="solver_ssz" localSheetId="6" hidden="1">100</definedName>
    <definedName name="solver_ssz" localSheetId="4" hidden="1">100</definedName>
    <definedName name="solver_ssz" localSheetId="5" hidden="1">100</definedName>
    <definedName name="solver_tim" localSheetId="6" hidden="1">2147483647</definedName>
    <definedName name="solver_tim" localSheetId="4" hidden="1">2147483647</definedName>
    <definedName name="solver_tim" localSheetId="5" hidden="1">2147483647</definedName>
    <definedName name="solver_tol" localSheetId="6" hidden="1">0.01</definedName>
    <definedName name="solver_tol" localSheetId="4" hidden="1">0.01</definedName>
    <definedName name="solver_tol" localSheetId="5" hidden="1">0.01</definedName>
    <definedName name="solver_typ" localSheetId="6" hidden="1">1</definedName>
    <definedName name="solver_typ" localSheetId="4" hidden="1">1</definedName>
    <definedName name="solver_typ" localSheetId="5" hidden="1">1</definedName>
    <definedName name="solver_val" localSheetId="6" hidden="1">0</definedName>
    <definedName name="solver_val" localSheetId="4" hidden="1">0</definedName>
    <definedName name="solver_val" localSheetId="5" hidden="1">0</definedName>
    <definedName name="solver_ver" localSheetId="6" hidden="1">3</definedName>
    <definedName name="solver_ver" localSheetId="4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12" l="1"/>
  <c r="I17" i="12"/>
  <c r="G17" i="12"/>
  <c r="I16" i="12"/>
  <c r="G16" i="12"/>
  <c r="G15" i="12"/>
  <c r="B9" i="12"/>
  <c r="D17" i="11"/>
  <c r="D16" i="11"/>
  <c r="D10" i="11"/>
  <c r="D9" i="11"/>
  <c r="D8" i="11"/>
  <c r="D6" i="11"/>
  <c r="D15" i="11"/>
  <c r="D14" i="11"/>
  <c r="E8" i="11"/>
  <c r="E11" i="11"/>
  <c r="C9" i="12"/>
  <c r="K17" i="12"/>
  <c r="K16" i="12"/>
  <c r="I23" i="3"/>
  <c r="K15" i="12"/>
  <c r="K18" i="12"/>
  <c r="E10" i="11"/>
  <c r="E9" i="11"/>
  <c r="D11" i="11" l="1"/>
  <c r="B6" i="10"/>
  <c r="D12" i="10" l="1"/>
  <c r="D11" i="10"/>
  <c r="D10" i="10"/>
  <c r="D9" i="10"/>
  <c r="B13" i="9"/>
  <c r="A13" i="9"/>
  <c r="E4" i="9"/>
  <c r="F20" i="9"/>
  <c r="F6" i="9"/>
  <c r="F8" i="9"/>
  <c r="F4" i="9"/>
  <c r="F7" i="9"/>
  <c r="F16" i="9"/>
  <c r="F11" i="9"/>
  <c r="F21" i="9"/>
  <c r="F17" i="9"/>
  <c r="F15" i="9"/>
  <c r="F9" i="9"/>
  <c r="F5" i="9"/>
  <c r="F22" i="9"/>
  <c r="F10" i="9"/>
  <c r="F14" i="9"/>
  <c r="F23" i="9"/>
  <c r="F13" i="9"/>
  <c r="C12" i="9"/>
  <c r="F18" i="9"/>
  <c r="F19" i="9"/>
  <c r="C13" i="9"/>
  <c r="F12" i="9"/>
  <c r="E5" i="9" l="1"/>
  <c r="E6" i="9" s="1"/>
  <c r="D3" i="6"/>
  <c r="F3" i="6" s="1"/>
  <c r="G3" i="6" s="1"/>
  <c r="B15" i="5"/>
  <c r="B11" i="5"/>
  <c r="B17" i="5" s="1"/>
  <c r="B12" i="5"/>
  <c r="H23" i="3"/>
  <c r="B22" i="3"/>
  <c r="B27" i="3" s="1"/>
  <c r="B28" i="3" s="1"/>
  <c r="E20" i="3" s="1"/>
  <c r="B6" i="3"/>
  <c r="B11" i="3" s="1"/>
  <c r="B12" i="3" s="1"/>
  <c r="E4" i="3" s="1"/>
  <c r="C11" i="5"/>
  <c r="C15" i="5"/>
  <c r="C19" i="5"/>
  <c r="C17" i="5"/>
  <c r="C27" i="3"/>
  <c r="C11" i="3"/>
  <c r="C12" i="5"/>
  <c r="E3" i="6"/>
  <c r="E7" i="9" l="1"/>
  <c r="E8" i="9" s="1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E22" i="9" s="1"/>
  <c r="E23" i="9" s="1"/>
  <c r="A6" i="6"/>
  <c r="B19" i="5"/>
  <c r="D21" i="5" s="1"/>
  <c r="B12" i="9" l="1"/>
  <c r="B15" i="9" s="1"/>
</calcChain>
</file>

<file path=xl/sharedStrings.xml><?xml version="1.0" encoding="utf-8"?>
<sst xmlns="http://schemas.openxmlformats.org/spreadsheetml/2006/main" count="137" uniqueCount="99">
  <si>
    <t>Principal</t>
  </si>
  <si>
    <t>Months</t>
  </si>
  <si>
    <t>Rate</t>
  </si>
  <si>
    <t>emi</t>
  </si>
  <si>
    <t>(pmt formula)</t>
  </si>
  <si>
    <t>catalog ordered</t>
  </si>
  <si>
    <t>response rate</t>
  </si>
  <si>
    <t>total order</t>
  </si>
  <si>
    <t>revenue</t>
  </si>
  <si>
    <t>avg cust order</t>
  </si>
  <si>
    <t>total revenue</t>
  </si>
  <si>
    <t>total cost</t>
  </si>
  <si>
    <t>profit</t>
  </si>
  <si>
    <t>data table</t>
  </si>
  <si>
    <t xml:space="preserve"> </t>
  </si>
  <si>
    <t>Only interest</t>
  </si>
  <si>
    <t>goal seek - whatif analysis</t>
  </si>
  <si>
    <t>what is your goal - we selected goal as 0 and we go to know that</t>
  </si>
  <si>
    <t>at a total response of 3.94% or 3943 orders its breakeven at 0</t>
  </si>
  <si>
    <t>using whatif analyis - data table</t>
  </si>
  <si>
    <t>end of tenure</t>
  </si>
  <si>
    <t>start up cost 500</t>
  </si>
  <si>
    <t>sell</t>
  </si>
  <si>
    <t>cost of each</t>
  </si>
  <si>
    <t>regular prices</t>
  </si>
  <si>
    <t>sale price (paper back)</t>
  </si>
  <si>
    <t>demand</t>
  </si>
  <si>
    <t>order</t>
  </si>
  <si>
    <t>surplus</t>
  </si>
  <si>
    <t>at least</t>
  </si>
  <si>
    <t>ordered</t>
  </si>
  <si>
    <t>unit cost</t>
  </si>
  <si>
    <t>another way</t>
  </si>
  <si>
    <t>cost</t>
  </si>
  <si>
    <t>surplus is sold at regular price</t>
  </si>
  <si>
    <t>(just a dummy no) (500 to 4500)</t>
  </si>
  <si>
    <t xml:space="preserve">lifetime </t>
  </si>
  <si>
    <t>yrs</t>
  </si>
  <si>
    <t>million</t>
  </si>
  <si>
    <t xml:space="preserve">increase </t>
  </si>
  <si>
    <t>cash flow</t>
  </si>
  <si>
    <t>if end of year is greater than 8, then incr at 10%</t>
  </si>
  <si>
    <t>its comparing end of years with 8</t>
  </si>
  <si>
    <t>else reduce at 5%</t>
  </si>
  <si>
    <t>NPV</t>
  </si>
  <si>
    <t>end of year</t>
  </si>
  <si>
    <t>Gross Margin</t>
  </si>
  <si>
    <t>if negative don’t invest</t>
  </si>
  <si>
    <t>rate of increase</t>
  </si>
  <si>
    <t>rate of decrease</t>
  </si>
  <si>
    <t>discount rate</t>
  </si>
  <si>
    <t>year 1 marging</t>
  </si>
  <si>
    <t>Development Cost</t>
  </si>
  <si>
    <t>variables</t>
  </si>
  <si>
    <t>No of radio ads</t>
  </si>
  <si>
    <t>no of tv ads</t>
  </si>
  <si>
    <t>&lt;&lt;--dummy nos</t>
  </si>
  <si>
    <t>constraint</t>
  </si>
  <si>
    <t>objective (max)</t>
  </si>
  <si>
    <t>budget</t>
  </si>
  <si>
    <t>lhs</t>
  </si>
  <si>
    <t>sign</t>
  </si>
  <si>
    <t>rhs</t>
  </si>
  <si>
    <t>formula</t>
  </si>
  <si>
    <t>&lt;==</t>
  </si>
  <si>
    <t>&lt;-coeff objective</t>
  </si>
  <si>
    <t>no of people reached</t>
  </si>
  <si>
    <t>atleast 10 radio</t>
  </si>
  <si>
    <t>atleast 10 TV</t>
  </si>
  <si>
    <t>&gt;=</t>
  </si>
  <si>
    <t>r &gt; = t</t>
  </si>
  <si>
    <t>budget cost</t>
  </si>
  <si>
    <t>estimated to reach number of people</t>
  </si>
  <si>
    <t>click solver - add all the values as shown in the screen shot - and save the solution</t>
  </si>
  <si>
    <t>constraints</t>
  </si>
  <si>
    <t>no of basic comp</t>
  </si>
  <si>
    <t>no of xp</t>
  </si>
  <si>
    <t>&lt;- dummy no</t>
  </si>
  <si>
    <t>at most 600 basic</t>
  </si>
  <si>
    <t>at most 1200 xps</t>
  </si>
  <si>
    <t>&lt;=</t>
  </si>
  <si>
    <t>Revenue</t>
  </si>
  <si>
    <t>part</t>
  </si>
  <si>
    <t>assembly hours</t>
  </si>
  <si>
    <t>labour-assembly</t>
  </si>
  <si>
    <t>labour-test</t>
  </si>
  <si>
    <t>test hours</t>
  </si>
  <si>
    <t>object (max)</t>
  </si>
  <si>
    <t>Actual return</t>
  </si>
  <si>
    <t>&lt;-dummy</t>
  </si>
  <si>
    <t>rate of ret</t>
  </si>
  <si>
    <t>munic-20%</t>
  </si>
  <si>
    <t>tech 40%</t>
  </si>
  <si>
    <t>no more 50% in high risk</t>
  </si>
  <si>
    <t xml:space="preserve"> Municipal Bond</t>
  </si>
  <si>
    <t>Electronics, Inc.</t>
  </si>
  <si>
    <t>Aerospace Corp.</t>
  </si>
  <si>
    <t>Technologies</t>
  </si>
  <si>
    <t>Stock (high risk)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</si>
</sst>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₹&quot;\ #,##0;[Red]&quot;₹&quot;\ \-#,##0"/>
    <numFmt numFmtId="8" formatCode="&quot;₹&quot;\ #,##0.00;[Red]&quot;₹&quot;\ \-#,##0.00"/>
    <numFmt numFmtId="43" formatCode="_ * #,##0.00_ ;_ * \-#,##0.00_ ;_ * &quot;-&quot;??_ ;_ @_ "/>
    <numFmt numFmtId="164" formatCode="_ [$₹-4009]\ * #,##0_ ;_ [$₹-4009]\ * \-#,##0_ ;_ [$₹-4009]\ * &quot;-&quot;??_ ;_ @_ "/>
    <numFmt numFmtId="166" formatCode="_-[$$-409]* #,##0.00_ ;_-[$$-409]* \-#,##0.00\ ;_-[$$-409]* &quot;-&quot;??_ ;_-@_ "/>
    <numFmt numFmtId="167" formatCode="_-[$$-409]* #,##0_ ;_-[$$-409]* \-#,##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9" fontId="0" fillId="0" borderId="0" xfId="0" applyNumberFormat="1"/>
    <xf numFmtId="8" fontId="0" fillId="0" borderId="0" xfId="0" applyNumberFormat="1"/>
    <xf numFmtId="0" fontId="0" fillId="2" borderId="0" xfId="0" applyFill="1" applyAlignment="1">
      <alignment horizontal="center"/>
    </xf>
    <xf numFmtId="10" fontId="0" fillId="0" borderId="0" xfId="0" applyNumberFormat="1"/>
    <xf numFmtId="37" fontId="0" fillId="0" borderId="0" xfId="1" applyNumberFormat="1" applyFont="1"/>
    <xf numFmtId="10" fontId="0" fillId="3" borderId="0" xfId="2" applyNumberFormat="1" applyFont="1" applyFill="1"/>
    <xf numFmtId="37" fontId="0" fillId="0" borderId="0" xfId="0" applyNumberFormat="1"/>
    <xf numFmtId="164" fontId="0" fillId="0" borderId="0" xfId="0" applyNumberFormat="1"/>
    <xf numFmtId="0" fontId="0" fillId="3" borderId="0" xfId="0" applyFill="1"/>
    <xf numFmtId="6" fontId="0" fillId="0" borderId="0" xfId="0" applyNumberFormat="1"/>
    <xf numFmtId="0" fontId="0" fillId="0" borderId="1" xfId="0" applyBorder="1"/>
    <xf numFmtId="0" fontId="0" fillId="0" borderId="2" xfId="0" applyBorder="1"/>
    <xf numFmtId="0" fontId="0" fillId="3" borderId="1" xfId="0" applyFill="1" applyBorder="1"/>
    <xf numFmtId="0" fontId="2" fillId="0" borderId="1" xfId="0" applyFont="1" applyBorder="1"/>
    <xf numFmtId="0" fontId="0" fillId="4" borderId="1" xfId="0" applyFill="1" applyBorder="1"/>
    <xf numFmtId="6" fontId="0" fillId="0" borderId="1" xfId="0" applyNumberFormat="1" applyBorder="1"/>
    <xf numFmtId="0" fontId="0" fillId="5" borderId="5" xfId="0" applyFill="1" applyBorder="1"/>
    <xf numFmtId="0" fontId="0" fillId="0" borderId="5" xfId="0" applyBorder="1"/>
    <xf numFmtId="2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0" borderId="0" xfId="0" applyNumberFormat="1" applyFont="1" applyAlignment="1">
      <alignment horizontal="center"/>
    </xf>
    <xf numFmtId="0" fontId="0" fillId="0" borderId="0" xfId="0" applyAlignment="1">
      <alignment wrapText="1"/>
    </xf>
    <xf numFmtId="166" fontId="0" fillId="0" borderId="0" xfId="0" applyNumberFormat="1"/>
    <xf numFmtId="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 textRotation="180"/>
    </xf>
    <xf numFmtId="0" fontId="0" fillId="0" borderId="4" xfId="0" applyBorder="1" applyAlignment="1">
      <alignment horizontal="center" vertical="center" textRotation="180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14445-C45E-406C-A9BD-01A985837B92}">
  <dimension ref="A2:P31"/>
  <sheetViews>
    <sheetView zoomScale="70" zoomScaleNormal="70" workbookViewId="0">
      <selection activeCell="G22" sqref="G22"/>
    </sheetView>
  </sheetViews>
  <sheetFormatPr defaultRowHeight="14.5" x14ac:dyDescent="0.35"/>
  <cols>
    <col min="1" max="1" width="14.08984375" customWidth="1"/>
    <col min="2" max="4" width="11.81640625" customWidth="1"/>
    <col min="5" max="5" width="12.453125" customWidth="1"/>
    <col min="6" max="6" width="12.54296875" customWidth="1"/>
    <col min="7" max="7" width="11.81640625" customWidth="1"/>
    <col min="8" max="16" width="11.7265625" bestFit="1" customWidth="1"/>
  </cols>
  <sheetData>
    <row r="2" spans="1:16" x14ac:dyDescent="0.35">
      <c r="A2" s="3" t="s">
        <v>0</v>
      </c>
      <c r="B2" s="3" t="s">
        <v>1</v>
      </c>
      <c r="C2" s="3" t="s">
        <v>2</v>
      </c>
      <c r="D2" s="3" t="s">
        <v>3</v>
      </c>
      <c r="E2" s="9" t="s">
        <v>4</v>
      </c>
      <c r="F2" s="3" t="s">
        <v>20</v>
      </c>
      <c r="G2" s="3" t="s">
        <v>15</v>
      </c>
    </row>
    <row r="3" spans="1:16" x14ac:dyDescent="0.35">
      <c r="A3" s="8">
        <v>100000</v>
      </c>
      <c r="B3">
        <v>12</v>
      </c>
      <c r="C3" s="1">
        <v>0.09</v>
      </c>
      <c r="D3" s="2">
        <f>-PMT(C3/12,B3,A3)</f>
        <v>8745.1476769921428</v>
      </c>
      <c r="E3" t="str">
        <f ca="1">_xlfn.FORMULATEXT(D3)</f>
        <v>=-PMT(C3/12,B3,A3)</v>
      </c>
      <c r="F3" s="2">
        <f>D3*B3</f>
        <v>104941.77212390571</v>
      </c>
      <c r="G3" s="2">
        <f>F3-A3</f>
        <v>4941.7721239057137</v>
      </c>
      <c r="I3" t="s">
        <v>19</v>
      </c>
    </row>
    <row r="6" spans="1:16" x14ac:dyDescent="0.35">
      <c r="A6" s="10">
        <f>F3</f>
        <v>104941.77212390571</v>
      </c>
      <c r="B6" s="11">
        <v>12</v>
      </c>
      <c r="C6" s="11">
        <v>24</v>
      </c>
      <c r="D6" s="11">
        <v>36</v>
      </c>
      <c r="E6" s="11">
        <v>48</v>
      </c>
      <c r="F6" s="11">
        <v>60</v>
      </c>
      <c r="G6" s="11">
        <v>72</v>
      </c>
      <c r="H6" s="11">
        <v>84</v>
      </c>
      <c r="I6" s="11">
        <v>96</v>
      </c>
      <c r="J6" s="11">
        <v>108</v>
      </c>
      <c r="K6" s="11">
        <v>120</v>
      </c>
      <c r="L6" s="11">
        <v>132</v>
      </c>
      <c r="M6" s="11">
        <v>144</v>
      </c>
      <c r="N6" s="11">
        <v>156</v>
      </c>
      <c r="O6" s="11">
        <v>168</v>
      </c>
      <c r="P6" s="11">
        <v>180</v>
      </c>
    </row>
    <row r="7" spans="1:16" x14ac:dyDescent="0.35">
      <c r="A7" s="16">
        <v>100000</v>
      </c>
      <c r="B7" s="16">
        <f t="dataTable" ref="B7:P31" dt2D="1" dtr="1" r1="B3" r2="A3"/>
        <v>104941.77212390571</v>
      </c>
      <c r="C7" s="16">
        <v>109643.38147001543</v>
      </c>
      <c r="D7" s="16">
        <v>114479.03757578647</v>
      </c>
      <c r="E7" s="16">
        <v>119448.20339488421</v>
      </c>
      <c r="F7" s="16">
        <v>124550.13135812407</v>
      </c>
      <c r="G7" s="16">
        <v>129783.8676115572</v>
      </c>
      <c r="H7" s="16">
        <v>135148.25738432381</v>
      </c>
      <c r="I7" s="16">
        <v>140641.95142745247</v>
      </c>
      <c r="J7" s="16">
        <v>146263.41345388236</v>
      </c>
      <c r="K7" s="16">
        <v>152010.92850029937</v>
      </c>
      <c r="L7" s="16">
        <v>157882.6121230456</v>
      </c>
      <c r="M7" s="16">
        <v>163876.42033349848</v>
      </c>
      <c r="N7" s="16">
        <v>169990.16017299416</v>
      </c>
      <c r="O7" s="16">
        <v>176221.50082363005</v>
      </c>
      <c r="P7" s="16">
        <v>182567.98514912126</v>
      </c>
    </row>
    <row r="8" spans="1:16" x14ac:dyDescent="0.35">
      <c r="A8" s="16">
        <v>200000</v>
      </c>
      <c r="B8" s="16">
        <v>209883.54424781143</v>
      </c>
      <c r="C8" s="16">
        <v>219286.76294003087</v>
      </c>
      <c r="D8" s="16">
        <v>228958.07515157294</v>
      </c>
      <c r="E8" s="16">
        <v>238896.40678976843</v>
      </c>
      <c r="F8" s="16">
        <v>249100.26271624814</v>
      </c>
      <c r="G8" s="16">
        <v>259567.7352231144</v>
      </c>
      <c r="H8" s="16">
        <v>270296.51476864761</v>
      </c>
      <c r="I8" s="16">
        <v>281283.90285490494</v>
      </c>
      <c r="J8" s="16">
        <v>292526.82690776471</v>
      </c>
      <c r="K8" s="16">
        <v>304021.85700059874</v>
      </c>
      <c r="L8" s="16">
        <v>315765.22424609121</v>
      </c>
      <c r="M8" s="16">
        <v>327752.84066699696</v>
      </c>
      <c r="N8" s="16">
        <v>339980.32034598832</v>
      </c>
      <c r="O8" s="16">
        <v>352443.0016472601</v>
      </c>
      <c r="P8" s="16">
        <v>365135.97029824252</v>
      </c>
    </row>
    <row r="9" spans="1:16" x14ac:dyDescent="0.35">
      <c r="A9" s="16">
        <v>300000</v>
      </c>
      <c r="B9" s="16">
        <v>314825.31637171714</v>
      </c>
      <c r="C9" s="16">
        <v>328930.14441004628</v>
      </c>
      <c r="D9" s="16">
        <v>343437.1127273594</v>
      </c>
      <c r="E9" s="16">
        <v>358344.61018465261</v>
      </c>
      <c r="F9" s="16">
        <v>373650.39407437213</v>
      </c>
      <c r="G9" s="16">
        <v>389351.60283467162</v>
      </c>
      <c r="H9" s="16">
        <v>405444.77215297148</v>
      </c>
      <c r="I9" s="16">
        <v>421925.85428235738</v>
      </c>
      <c r="J9" s="16">
        <v>438790.2403616471</v>
      </c>
      <c r="K9" s="16">
        <v>456032.78550089814</v>
      </c>
      <c r="L9" s="16">
        <v>473647.83636913687</v>
      </c>
      <c r="M9" s="16">
        <v>491629.26100049535</v>
      </c>
      <c r="N9" s="16">
        <v>509970.48051898245</v>
      </c>
      <c r="O9" s="16">
        <v>528664.50247089018</v>
      </c>
      <c r="P9" s="16">
        <v>547703.9554473639</v>
      </c>
    </row>
    <row r="10" spans="1:16" x14ac:dyDescent="0.35">
      <c r="A10" s="16">
        <v>400000</v>
      </c>
      <c r="B10" s="16">
        <v>419767.08849562285</v>
      </c>
      <c r="C10" s="16">
        <v>438573.52588006173</v>
      </c>
      <c r="D10" s="16">
        <v>457916.15030314587</v>
      </c>
      <c r="E10" s="16">
        <v>477792.81357953686</v>
      </c>
      <c r="F10" s="16">
        <v>498200.52543249627</v>
      </c>
      <c r="G10" s="16">
        <v>519135.47044622881</v>
      </c>
      <c r="H10" s="16">
        <v>540593.02953729522</v>
      </c>
      <c r="I10" s="16">
        <v>562567.80570980988</v>
      </c>
      <c r="J10" s="16">
        <v>585053.65381552943</v>
      </c>
      <c r="K10" s="16">
        <v>608043.71400119748</v>
      </c>
      <c r="L10" s="16">
        <v>631530.44849218242</v>
      </c>
      <c r="M10" s="16">
        <v>655505.68133399391</v>
      </c>
      <c r="N10" s="16">
        <v>679960.64069197665</v>
      </c>
      <c r="O10" s="16">
        <v>704886.0032945202</v>
      </c>
      <c r="P10" s="16">
        <v>730271.94059648504</v>
      </c>
    </row>
    <row r="11" spans="1:16" x14ac:dyDescent="0.35">
      <c r="A11" s="16">
        <v>500000</v>
      </c>
      <c r="B11" s="16">
        <v>524708.86061952857</v>
      </c>
      <c r="C11" s="16">
        <v>548216.90735007706</v>
      </c>
      <c r="D11" s="16">
        <v>572395.18787893234</v>
      </c>
      <c r="E11" s="16">
        <v>597241.01697442099</v>
      </c>
      <c r="F11" s="16">
        <v>622750.65679062018</v>
      </c>
      <c r="G11" s="16">
        <v>648919.33805778611</v>
      </c>
      <c r="H11" s="16">
        <v>675741.28692161909</v>
      </c>
      <c r="I11" s="16">
        <v>703209.75713726238</v>
      </c>
      <c r="J11" s="16">
        <v>731317.06726941175</v>
      </c>
      <c r="K11" s="16">
        <v>760054.64250149694</v>
      </c>
      <c r="L11" s="16">
        <v>789413.06061522802</v>
      </c>
      <c r="M11" s="16">
        <v>819382.1016674923</v>
      </c>
      <c r="N11" s="16">
        <v>849950.80086497089</v>
      </c>
      <c r="O11" s="16">
        <v>881107.50411815033</v>
      </c>
      <c r="P11" s="16">
        <v>912839.92574560642</v>
      </c>
    </row>
    <row r="12" spans="1:16" x14ac:dyDescent="0.35">
      <c r="A12" s="16">
        <v>600000</v>
      </c>
      <c r="B12" s="16">
        <v>629650.63274343428</v>
      </c>
      <c r="C12" s="16">
        <v>657860.28882009257</v>
      </c>
      <c r="D12" s="16">
        <v>686874.22545471881</v>
      </c>
      <c r="E12" s="16">
        <v>716689.22036930523</v>
      </c>
      <c r="F12" s="16">
        <v>747300.78814874426</v>
      </c>
      <c r="G12" s="16">
        <v>778703.20566934324</v>
      </c>
      <c r="H12" s="16">
        <v>810889.54430594295</v>
      </c>
      <c r="I12" s="16">
        <v>843851.70856471476</v>
      </c>
      <c r="J12" s="16">
        <v>877580.4807232942</v>
      </c>
      <c r="K12" s="16">
        <v>912065.57100179628</v>
      </c>
      <c r="L12" s="16">
        <v>947295.67273827374</v>
      </c>
      <c r="M12" s="16">
        <v>983258.52200099069</v>
      </c>
      <c r="N12" s="16">
        <v>1019940.9610379649</v>
      </c>
      <c r="O12" s="16">
        <v>1057329.0049417804</v>
      </c>
      <c r="P12" s="16">
        <v>1095407.9108947278</v>
      </c>
    </row>
    <row r="13" spans="1:16" x14ac:dyDescent="0.35">
      <c r="A13" s="16">
        <v>700000</v>
      </c>
      <c r="B13" s="16">
        <v>734592.40486734</v>
      </c>
      <c r="C13" s="16">
        <v>767503.67029010784</v>
      </c>
      <c r="D13" s="16">
        <v>801353.26303050527</v>
      </c>
      <c r="E13" s="16">
        <v>836137.42376418947</v>
      </c>
      <c r="F13" s="16">
        <v>871850.91950686846</v>
      </c>
      <c r="G13" s="16">
        <v>908487.07328090037</v>
      </c>
      <c r="H13" s="16">
        <v>946037.8016902667</v>
      </c>
      <c r="I13" s="16">
        <v>984493.65999216726</v>
      </c>
      <c r="J13" s="16">
        <v>1023843.8941771763</v>
      </c>
      <c r="K13" s="16">
        <v>1064076.4995020959</v>
      </c>
      <c r="L13" s="16">
        <v>1105178.2848613195</v>
      </c>
      <c r="M13" s="16">
        <v>1147134.9423344892</v>
      </c>
      <c r="N13" s="16">
        <v>1189931.1212109593</v>
      </c>
      <c r="O13" s="16">
        <v>1233550.5057654104</v>
      </c>
      <c r="P13" s="16">
        <v>1277975.8960438489</v>
      </c>
    </row>
    <row r="14" spans="1:16" x14ac:dyDescent="0.35">
      <c r="A14" s="16">
        <v>800000</v>
      </c>
      <c r="B14" s="16">
        <v>839534.17699124571</v>
      </c>
      <c r="C14" s="16">
        <v>877147.05176012346</v>
      </c>
      <c r="D14" s="16">
        <v>915832.30060629174</v>
      </c>
      <c r="E14" s="16">
        <v>955585.62715907372</v>
      </c>
      <c r="F14" s="16">
        <v>996401.05086499255</v>
      </c>
      <c r="G14" s="16">
        <v>1038270.9408924576</v>
      </c>
      <c r="H14" s="16">
        <v>1081186.0590745904</v>
      </c>
      <c r="I14" s="16">
        <v>1125135.6114196198</v>
      </c>
      <c r="J14" s="16">
        <v>1170107.3076310589</v>
      </c>
      <c r="K14" s="16">
        <v>1216087.428002395</v>
      </c>
      <c r="L14" s="16">
        <v>1263060.8969843648</v>
      </c>
      <c r="M14" s="16">
        <v>1311011.3626679878</v>
      </c>
      <c r="N14" s="16">
        <v>1359921.2813839533</v>
      </c>
      <c r="O14" s="16">
        <v>1409772.0065890404</v>
      </c>
      <c r="P14" s="16">
        <v>1460543.8811929701</v>
      </c>
    </row>
    <row r="15" spans="1:16" x14ac:dyDescent="0.35">
      <c r="A15" s="16">
        <v>900000</v>
      </c>
      <c r="B15" s="16">
        <v>944475.94911515142</v>
      </c>
      <c r="C15" s="16">
        <v>986790.43323013862</v>
      </c>
      <c r="D15" s="16">
        <v>1030311.3381820782</v>
      </c>
      <c r="E15" s="16">
        <v>1075033.8305539577</v>
      </c>
      <c r="F15" s="16">
        <v>1120951.1822231165</v>
      </c>
      <c r="G15" s="16">
        <v>1168054.8085040147</v>
      </c>
      <c r="H15" s="16">
        <v>1216334.3164589144</v>
      </c>
      <c r="I15" s="16">
        <v>1265777.5628470723</v>
      </c>
      <c r="J15" s="16">
        <v>1316370.7210849412</v>
      </c>
      <c r="K15" s="16">
        <v>1368098.3565026945</v>
      </c>
      <c r="L15" s="16">
        <v>1420943.5091074107</v>
      </c>
      <c r="M15" s="16">
        <v>1474887.783001486</v>
      </c>
      <c r="N15" s="16">
        <v>1529911.4415569475</v>
      </c>
      <c r="O15" s="16">
        <v>1585993.5074126704</v>
      </c>
      <c r="P15" s="16">
        <v>1643111.8663420915</v>
      </c>
    </row>
    <row r="16" spans="1:16" x14ac:dyDescent="0.35">
      <c r="A16" s="16">
        <v>1000000</v>
      </c>
      <c r="B16" s="16">
        <v>1049417.7212390571</v>
      </c>
      <c r="C16" s="16">
        <v>1096433.8147001541</v>
      </c>
      <c r="D16" s="16">
        <v>1144790.3757578647</v>
      </c>
      <c r="E16" s="16">
        <v>1194482.033948842</v>
      </c>
      <c r="F16" s="16">
        <v>1245501.3135812404</v>
      </c>
      <c r="G16" s="16">
        <v>1297838.6761155722</v>
      </c>
      <c r="H16" s="16">
        <v>1351482.5738432382</v>
      </c>
      <c r="I16" s="16">
        <v>1406419.5142745248</v>
      </c>
      <c r="J16" s="16">
        <v>1462634.1345388235</v>
      </c>
      <c r="K16" s="16">
        <v>1520109.2850029939</v>
      </c>
      <c r="L16" s="16">
        <v>1578826.121230456</v>
      </c>
      <c r="M16" s="16">
        <v>1638764.2033349846</v>
      </c>
      <c r="N16" s="16">
        <v>1699901.6017299418</v>
      </c>
      <c r="O16" s="16">
        <v>1762215.0082363007</v>
      </c>
      <c r="P16" s="16">
        <v>1825679.8514912128</v>
      </c>
    </row>
    <row r="17" spans="1:16" x14ac:dyDescent="0.35">
      <c r="A17" s="16">
        <v>1100000</v>
      </c>
      <c r="B17" s="16">
        <v>1154359.4933629627</v>
      </c>
      <c r="C17" s="16">
        <v>1206077.1961701696</v>
      </c>
      <c r="D17" s="16">
        <v>1259269.4133336514</v>
      </c>
      <c r="E17" s="16">
        <v>1313930.2373437262</v>
      </c>
      <c r="F17" s="16">
        <v>1370051.4449393647</v>
      </c>
      <c r="G17" s="16">
        <v>1427622.5437271292</v>
      </c>
      <c r="H17" s="16">
        <v>1486630.8312275619</v>
      </c>
      <c r="I17" s="16">
        <v>1547061.4657019773</v>
      </c>
      <c r="J17" s="16">
        <v>1608897.5479927061</v>
      </c>
      <c r="K17" s="16">
        <v>1672120.213503293</v>
      </c>
      <c r="L17" s="16">
        <v>1736708.7333535019</v>
      </c>
      <c r="M17" s="16">
        <v>1802640.623668483</v>
      </c>
      <c r="N17" s="16">
        <v>1869891.7619029356</v>
      </c>
      <c r="O17" s="16">
        <v>1938436.5090599305</v>
      </c>
      <c r="P17" s="16">
        <v>2008247.8366403342</v>
      </c>
    </row>
    <row r="18" spans="1:16" x14ac:dyDescent="0.35">
      <c r="A18" s="16">
        <v>1200000</v>
      </c>
      <c r="B18" s="16">
        <v>1259301.2654868686</v>
      </c>
      <c r="C18" s="16">
        <v>1315720.5776401851</v>
      </c>
      <c r="D18" s="16">
        <v>1373748.4509094376</v>
      </c>
      <c r="E18" s="16">
        <v>1433378.4407386105</v>
      </c>
      <c r="F18" s="16">
        <v>1494601.5762974885</v>
      </c>
      <c r="G18" s="16">
        <v>1557406.4113386865</v>
      </c>
      <c r="H18" s="16">
        <v>1621779.0886118859</v>
      </c>
      <c r="I18" s="16">
        <v>1687703.4171294295</v>
      </c>
      <c r="J18" s="16">
        <v>1755160.9614465884</v>
      </c>
      <c r="K18" s="16">
        <v>1824131.1420035926</v>
      </c>
      <c r="L18" s="16">
        <v>1894591.3454765475</v>
      </c>
      <c r="M18" s="16">
        <v>1966517.0440019814</v>
      </c>
      <c r="N18" s="16">
        <v>2039881.9220759298</v>
      </c>
      <c r="O18" s="16">
        <v>2114658.0098835607</v>
      </c>
      <c r="P18" s="16">
        <v>2190815.8217894556</v>
      </c>
    </row>
    <row r="19" spans="1:16" x14ac:dyDescent="0.35">
      <c r="A19" s="16">
        <v>1300000</v>
      </c>
      <c r="B19" s="16">
        <v>1364243.0376107744</v>
      </c>
      <c r="C19" s="16">
        <v>1425363.9591102004</v>
      </c>
      <c r="D19" s="16">
        <v>1488227.4884852238</v>
      </c>
      <c r="E19" s="16">
        <v>1552826.6441334945</v>
      </c>
      <c r="F19" s="16">
        <v>1619151.7076556126</v>
      </c>
      <c r="G19" s="16">
        <v>1687190.2789502437</v>
      </c>
      <c r="H19" s="16">
        <v>1756927.3459962097</v>
      </c>
      <c r="I19" s="16">
        <v>1828345.3685568825</v>
      </c>
      <c r="J19" s="16">
        <v>1901424.374900471</v>
      </c>
      <c r="K19" s="16">
        <v>1976142.0705038919</v>
      </c>
      <c r="L19" s="16">
        <v>2052473.9575995931</v>
      </c>
      <c r="M19" s="16">
        <v>2130393.4643354798</v>
      </c>
      <c r="N19" s="16">
        <v>2209872.0822489243</v>
      </c>
      <c r="O19" s="16">
        <v>2290879.5107071907</v>
      </c>
      <c r="P19" s="16">
        <v>2373383.8069385765</v>
      </c>
    </row>
    <row r="20" spans="1:16" x14ac:dyDescent="0.35">
      <c r="A20" s="16">
        <v>1400000</v>
      </c>
      <c r="B20" s="16">
        <v>1469184.80973468</v>
      </c>
      <c r="C20" s="16">
        <v>1535007.3405802157</v>
      </c>
      <c r="D20" s="16">
        <v>1602706.5260610105</v>
      </c>
      <c r="E20" s="16">
        <v>1672274.8475283789</v>
      </c>
      <c r="F20" s="16">
        <v>1743701.8390137369</v>
      </c>
      <c r="G20" s="16">
        <v>1816974.1465618007</v>
      </c>
      <c r="H20" s="16">
        <v>1892075.6033805334</v>
      </c>
      <c r="I20" s="16">
        <v>1968987.3199843345</v>
      </c>
      <c r="J20" s="16">
        <v>2047687.7883543526</v>
      </c>
      <c r="K20" s="16">
        <v>2128152.9990041917</v>
      </c>
      <c r="L20" s="16">
        <v>2210356.5697226389</v>
      </c>
      <c r="M20" s="16">
        <v>2294269.8846689784</v>
      </c>
      <c r="N20" s="16">
        <v>2379862.2424219185</v>
      </c>
      <c r="O20" s="16">
        <v>2467101.0115308207</v>
      </c>
      <c r="P20" s="16">
        <v>2555951.7920876979</v>
      </c>
    </row>
    <row r="21" spans="1:16" x14ac:dyDescent="0.35">
      <c r="A21" s="16">
        <v>1500000</v>
      </c>
      <c r="B21" s="16">
        <v>1574126.5818585856</v>
      </c>
      <c r="C21" s="16">
        <v>1644650.7220502314</v>
      </c>
      <c r="D21" s="16">
        <v>1717185.563636797</v>
      </c>
      <c r="E21" s="16">
        <v>1791723.0509232632</v>
      </c>
      <c r="F21" s="16">
        <v>1868251.9703718605</v>
      </c>
      <c r="G21" s="16">
        <v>1946758.014173358</v>
      </c>
      <c r="H21" s="16">
        <v>2027223.8607648574</v>
      </c>
      <c r="I21" s="16">
        <v>2109629.2714117873</v>
      </c>
      <c r="J21" s="16">
        <v>2193951.2018082351</v>
      </c>
      <c r="K21" s="16">
        <v>2280163.9275044906</v>
      </c>
      <c r="L21" s="16">
        <v>2368239.1818456845</v>
      </c>
      <c r="M21" s="16">
        <v>2458146.3050024766</v>
      </c>
      <c r="N21" s="16">
        <v>2549852.4025949123</v>
      </c>
      <c r="O21" s="16">
        <v>2643322.5123544508</v>
      </c>
      <c r="P21" s="16">
        <v>2738519.7772368193</v>
      </c>
    </row>
    <row r="22" spans="1:16" x14ac:dyDescent="0.35">
      <c r="A22" s="16">
        <v>1600000</v>
      </c>
      <c r="B22" s="16">
        <v>1679068.3539824914</v>
      </c>
      <c r="C22" s="16">
        <v>1754294.1035202469</v>
      </c>
      <c r="D22" s="16">
        <v>1831664.6012125835</v>
      </c>
      <c r="E22" s="16">
        <v>1911171.2543181474</v>
      </c>
      <c r="F22" s="16">
        <v>1992802.1017299851</v>
      </c>
      <c r="G22" s="16">
        <v>2076541.8817849152</v>
      </c>
      <c r="H22" s="16">
        <v>2162372.1181491809</v>
      </c>
      <c r="I22" s="16">
        <v>2250271.2228392395</v>
      </c>
      <c r="J22" s="16">
        <v>2340214.6152621177</v>
      </c>
      <c r="K22" s="16">
        <v>2432174.8560047899</v>
      </c>
      <c r="L22" s="16">
        <v>2526121.7939687297</v>
      </c>
      <c r="M22" s="16">
        <v>2622022.7253359756</v>
      </c>
      <c r="N22" s="16">
        <v>2719842.5627679066</v>
      </c>
      <c r="O22" s="16">
        <v>2819544.0131780808</v>
      </c>
      <c r="P22" s="16">
        <v>2921087.7623859402</v>
      </c>
    </row>
    <row r="23" spans="1:16" x14ac:dyDescent="0.35">
      <c r="A23" s="16">
        <v>1700000</v>
      </c>
      <c r="B23" s="16">
        <v>1784010.1261063972</v>
      </c>
      <c r="C23" s="16">
        <v>1863937.4849902624</v>
      </c>
      <c r="D23" s="16">
        <v>1946143.6387883699</v>
      </c>
      <c r="E23" s="16">
        <v>2030619.4577130317</v>
      </c>
      <c r="F23" s="16">
        <v>2117352.2330881087</v>
      </c>
      <c r="G23" s="16">
        <v>2206325.7493964722</v>
      </c>
      <c r="H23" s="16">
        <v>2297520.3755335049</v>
      </c>
      <c r="I23" s="16">
        <v>2390913.1742666923</v>
      </c>
      <c r="J23" s="16">
        <v>2486478.0287159998</v>
      </c>
      <c r="K23" s="16">
        <v>2584185.7845050893</v>
      </c>
      <c r="L23" s="16">
        <v>2684004.4060917757</v>
      </c>
      <c r="M23" s="16">
        <v>2785899.1456694738</v>
      </c>
      <c r="N23" s="16">
        <v>2889832.7229409008</v>
      </c>
      <c r="O23" s="16">
        <v>2995765.5140017113</v>
      </c>
      <c r="P23" s="16">
        <v>3103655.7475350616</v>
      </c>
    </row>
    <row r="24" spans="1:16" x14ac:dyDescent="0.35">
      <c r="A24" s="16">
        <v>1800000</v>
      </c>
      <c r="B24" s="16">
        <v>1888951.8982303028</v>
      </c>
      <c r="C24" s="16">
        <v>1973580.8664602772</v>
      </c>
      <c r="D24" s="16">
        <v>2060622.6763641564</v>
      </c>
      <c r="E24" s="16">
        <v>2150067.6611079155</v>
      </c>
      <c r="F24" s="16">
        <v>2241902.364446233</v>
      </c>
      <c r="G24" s="16">
        <v>2336109.6170080295</v>
      </c>
      <c r="H24" s="16">
        <v>2432668.6329178289</v>
      </c>
      <c r="I24" s="16">
        <v>2531555.1256941445</v>
      </c>
      <c r="J24" s="16">
        <v>2632741.4421698824</v>
      </c>
      <c r="K24" s="16">
        <v>2736196.7130053891</v>
      </c>
      <c r="L24" s="16">
        <v>2841887.0182148213</v>
      </c>
      <c r="M24" s="16">
        <v>2949775.566002972</v>
      </c>
      <c r="N24" s="16">
        <v>3059822.8831138951</v>
      </c>
      <c r="O24" s="16">
        <v>3171987.0148253408</v>
      </c>
      <c r="P24" s="16">
        <v>3286223.7326841829</v>
      </c>
    </row>
    <row r="25" spans="1:16" x14ac:dyDescent="0.35">
      <c r="A25" s="16">
        <v>1900000</v>
      </c>
      <c r="B25" s="16">
        <v>1993893.6703542084</v>
      </c>
      <c r="C25" s="16">
        <v>2083224.247930293</v>
      </c>
      <c r="D25" s="16">
        <v>2175101.7139399429</v>
      </c>
      <c r="E25" s="16">
        <v>2269515.8645027997</v>
      </c>
      <c r="F25" s="16">
        <v>2366452.4958043569</v>
      </c>
      <c r="G25" s="16">
        <v>2465893.4846195867</v>
      </c>
      <c r="H25" s="16">
        <v>2567816.8903021524</v>
      </c>
      <c r="I25" s="16">
        <v>2672197.0771215972</v>
      </c>
      <c r="J25" s="16">
        <v>2779004.8556237649</v>
      </c>
      <c r="K25" s="16">
        <v>2888207.641505688</v>
      </c>
      <c r="L25" s="16">
        <v>2999769.6303378665</v>
      </c>
      <c r="M25" s="16">
        <v>3113651.9863364706</v>
      </c>
      <c r="N25" s="16">
        <v>3229813.0432868889</v>
      </c>
      <c r="O25" s="16">
        <v>3348208.5156489708</v>
      </c>
      <c r="P25" s="16">
        <v>3468791.7178333048</v>
      </c>
    </row>
    <row r="26" spans="1:16" x14ac:dyDescent="0.35">
      <c r="A26" s="16">
        <v>2000000</v>
      </c>
      <c r="B26" s="16">
        <v>2098835.4424781143</v>
      </c>
      <c r="C26" s="16">
        <v>2192867.6294003082</v>
      </c>
      <c r="D26" s="16">
        <v>2289580.7515157294</v>
      </c>
      <c r="E26" s="16">
        <v>2388964.0678976839</v>
      </c>
      <c r="F26" s="16">
        <v>2491002.6271624807</v>
      </c>
      <c r="G26" s="16">
        <v>2595677.3522311444</v>
      </c>
      <c r="H26" s="16">
        <v>2702965.1476864764</v>
      </c>
      <c r="I26" s="16">
        <v>2812839.0285490495</v>
      </c>
      <c r="J26" s="16">
        <v>2925268.269077647</v>
      </c>
      <c r="K26" s="16">
        <v>3040218.5700059878</v>
      </c>
      <c r="L26" s="16">
        <v>3157652.2424609121</v>
      </c>
      <c r="M26" s="16">
        <v>3277528.4066699692</v>
      </c>
      <c r="N26" s="16">
        <v>3399803.2034598836</v>
      </c>
      <c r="O26" s="16">
        <v>3524430.0164726013</v>
      </c>
      <c r="P26" s="16">
        <v>3651359.7029824257</v>
      </c>
    </row>
    <row r="27" spans="1:16" x14ac:dyDescent="0.35">
      <c r="A27" s="16">
        <v>2100000</v>
      </c>
      <c r="B27" s="16">
        <v>2203777.2146020201</v>
      </c>
      <c r="C27" s="16">
        <v>2302511.010870324</v>
      </c>
      <c r="D27" s="16">
        <v>2404059.7890915158</v>
      </c>
      <c r="E27" s="16">
        <v>2508412.2712925682</v>
      </c>
      <c r="F27" s="16">
        <v>2615552.758520605</v>
      </c>
      <c r="G27" s="16">
        <v>2725461.2198427012</v>
      </c>
      <c r="H27" s="16">
        <v>2838113.4050707999</v>
      </c>
      <c r="I27" s="16">
        <v>2953480.9799765018</v>
      </c>
      <c r="J27" s="16">
        <v>3071531.6825315296</v>
      </c>
      <c r="K27" s="16">
        <v>3192229.4985062866</v>
      </c>
      <c r="L27" s="16">
        <v>3315534.8545839582</v>
      </c>
      <c r="M27" s="16">
        <v>3441404.8270034678</v>
      </c>
      <c r="N27" s="16">
        <v>3569793.3636328774</v>
      </c>
      <c r="O27" s="16">
        <v>3700651.5172962309</v>
      </c>
      <c r="P27" s="16">
        <v>3833927.6881315471</v>
      </c>
    </row>
    <row r="28" spans="1:16" x14ac:dyDescent="0.35">
      <c r="A28" s="16">
        <v>2200000</v>
      </c>
      <c r="B28" s="16">
        <v>2308718.9867259255</v>
      </c>
      <c r="C28" s="16">
        <v>2412154.3923403393</v>
      </c>
      <c r="D28" s="16">
        <v>2518538.8266673028</v>
      </c>
      <c r="E28" s="16">
        <v>2627860.4746874524</v>
      </c>
      <c r="F28" s="16">
        <v>2740102.8898787294</v>
      </c>
      <c r="G28" s="16">
        <v>2855245.0874542585</v>
      </c>
      <c r="H28" s="16">
        <v>2973261.6624551238</v>
      </c>
      <c r="I28" s="16">
        <v>3094122.9314039545</v>
      </c>
      <c r="J28" s="16">
        <v>3217795.0959854121</v>
      </c>
      <c r="K28" s="16">
        <v>3344240.427006586</v>
      </c>
      <c r="L28" s="16">
        <v>3473417.4667070038</v>
      </c>
      <c r="M28" s="16">
        <v>3605281.247336966</v>
      </c>
      <c r="N28" s="16">
        <v>3739783.5238058711</v>
      </c>
      <c r="O28" s="16">
        <v>3876873.0181198609</v>
      </c>
      <c r="P28" s="16">
        <v>4016495.6732806684</v>
      </c>
    </row>
    <row r="29" spans="1:16" x14ac:dyDescent="0.35">
      <c r="A29" s="16">
        <v>2300000</v>
      </c>
      <c r="B29" s="16">
        <v>2413660.7588498313</v>
      </c>
      <c r="C29" s="16">
        <v>2521797.773810355</v>
      </c>
      <c r="D29" s="16">
        <v>2633017.8642430888</v>
      </c>
      <c r="E29" s="16">
        <v>2747308.6780823367</v>
      </c>
      <c r="F29" s="16">
        <v>2864653.0212368532</v>
      </c>
      <c r="G29" s="16">
        <v>2985028.9550658157</v>
      </c>
      <c r="H29" s="16">
        <v>3108409.9198394483</v>
      </c>
      <c r="I29" s="16">
        <v>3234764.8828314068</v>
      </c>
      <c r="J29" s="16">
        <v>3364058.5094392942</v>
      </c>
      <c r="K29" s="16">
        <v>3496251.3555068858</v>
      </c>
      <c r="L29" s="16">
        <v>3631300.0788300494</v>
      </c>
      <c r="M29" s="16">
        <v>3769157.6676704646</v>
      </c>
      <c r="N29" s="16">
        <v>3909773.6839788654</v>
      </c>
      <c r="O29" s="16">
        <v>4053094.5189434905</v>
      </c>
      <c r="P29" s="16">
        <v>4199063.6584297894</v>
      </c>
    </row>
    <row r="30" spans="1:16" x14ac:dyDescent="0.35">
      <c r="A30" s="16">
        <v>2400000</v>
      </c>
      <c r="B30" s="16">
        <v>2518602.5309737371</v>
      </c>
      <c r="C30" s="16">
        <v>2631441.1552803703</v>
      </c>
      <c r="D30" s="16">
        <v>2747496.9018188752</v>
      </c>
      <c r="E30" s="16">
        <v>2866756.8814772209</v>
      </c>
      <c r="F30" s="16">
        <v>2989203.1525949771</v>
      </c>
      <c r="G30" s="16">
        <v>3114812.822677373</v>
      </c>
      <c r="H30" s="16">
        <v>3243558.1772237718</v>
      </c>
      <c r="I30" s="16">
        <v>3375406.834258859</v>
      </c>
      <c r="J30" s="16">
        <v>3510321.9228931768</v>
      </c>
      <c r="K30" s="16">
        <v>3648262.2840071851</v>
      </c>
      <c r="L30" s="16">
        <v>3789182.690953095</v>
      </c>
      <c r="M30" s="16">
        <v>3933034.0880039628</v>
      </c>
      <c r="N30" s="16">
        <v>4079763.8441518596</v>
      </c>
      <c r="O30" s="16">
        <v>4229316.0197671214</v>
      </c>
      <c r="P30" s="16">
        <v>4381631.6435789112</v>
      </c>
    </row>
    <row r="31" spans="1:16" x14ac:dyDescent="0.35">
      <c r="A31" s="16">
        <v>2500000</v>
      </c>
      <c r="B31" s="16">
        <v>2623544.303097643</v>
      </c>
      <c r="C31" s="16">
        <v>2741084.5367503855</v>
      </c>
      <c r="D31" s="16">
        <v>2861975.9393946617</v>
      </c>
      <c r="E31" s="16">
        <v>2986205.0848721052</v>
      </c>
      <c r="F31" s="16">
        <v>3113753.2839531009</v>
      </c>
      <c r="G31" s="16">
        <v>3244596.6902889302</v>
      </c>
      <c r="H31" s="16">
        <v>3378706.4346080953</v>
      </c>
      <c r="I31" s="16">
        <v>3516048.7856863122</v>
      </c>
      <c r="J31" s="16">
        <v>3656585.3363470584</v>
      </c>
      <c r="K31" s="16">
        <v>3800273.212507484</v>
      </c>
      <c r="L31" s="16">
        <v>3947065.3030761406</v>
      </c>
      <c r="M31" s="16">
        <v>4096910.5083374614</v>
      </c>
      <c r="N31" s="16">
        <v>4249754.0043248534</v>
      </c>
      <c r="O31" s="16">
        <v>4405537.5205907505</v>
      </c>
      <c r="P31" s="16">
        <v>4564199.6287280321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47891-3390-4345-97EA-3215E6FE6B0E}">
  <sheetPr codeName="Sheet3"/>
  <dimension ref="A2:I31"/>
  <sheetViews>
    <sheetView zoomScale="70" zoomScaleNormal="70" workbookViewId="0">
      <selection activeCell="A23" sqref="A23"/>
    </sheetView>
  </sheetViews>
  <sheetFormatPr defaultRowHeight="14.5" x14ac:dyDescent="0.35"/>
  <cols>
    <col min="1" max="1" width="14" bestFit="1" customWidth="1"/>
    <col min="2" max="2" width="7.7265625" bestFit="1" customWidth="1"/>
    <col min="3" max="3" width="9" bestFit="1" customWidth="1"/>
    <col min="4" max="4" width="9.1796875" bestFit="1" customWidth="1"/>
    <col min="5" max="5" width="7.7265625" bestFit="1" customWidth="1"/>
    <col min="7" max="7" width="54.81640625" bestFit="1" customWidth="1"/>
    <col min="8" max="8" width="3.81640625" bestFit="1" customWidth="1"/>
    <col min="9" max="9" width="9.36328125" bestFit="1" customWidth="1"/>
    <col min="10" max="11" width="3.81640625" bestFit="1" customWidth="1"/>
  </cols>
  <sheetData>
    <row r="2" spans="1:7" x14ac:dyDescent="0.35">
      <c r="A2" t="s">
        <v>11</v>
      </c>
      <c r="B2" s="5">
        <v>157700</v>
      </c>
    </row>
    <row r="3" spans="1:7" x14ac:dyDescent="0.35">
      <c r="B3" s="5"/>
      <c r="D3" t="s">
        <v>13</v>
      </c>
    </row>
    <row r="4" spans="1:7" x14ac:dyDescent="0.35">
      <c r="A4" t="s">
        <v>5</v>
      </c>
      <c r="B4" s="5">
        <v>100000</v>
      </c>
      <c r="E4" s="7">
        <f>B12</f>
        <v>-17699.999999999971</v>
      </c>
      <c r="G4" t="s">
        <v>16</v>
      </c>
    </row>
    <row r="5" spans="1:7" x14ac:dyDescent="0.35">
      <c r="A5" t="s">
        <v>6</v>
      </c>
      <c r="B5" s="6">
        <v>3.5000000000000003E-2</v>
      </c>
      <c r="D5" s="4">
        <v>0.03</v>
      </c>
      <c r="E5" s="7">
        <f t="dataTable" ref="E5:E15" dt2D="0" dtr="0" r1="B5"/>
        <v>-37700</v>
      </c>
      <c r="G5" t="s">
        <v>17</v>
      </c>
    </row>
    <row r="6" spans="1:7" x14ac:dyDescent="0.35">
      <c r="A6" t="s">
        <v>7</v>
      </c>
      <c r="B6" s="5">
        <f>B4*B5</f>
        <v>3500.0000000000005</v>
      </c>
      <c r="D6" s="4">
        <v>3.5000000000000003E-2</v>
      </c>
      <c r="E6" s="7">
        <v>-17699.999999999971</v>
      </c>
      <c r="G6" t="s">
        <v>18</v>
      </c>
    </row>
    <row r="7" spans="1:7" x14ac:dyDescent="0.35">
      <c r="B7" s="5"/>
      <c r="D7" s="4">
        <v>0.04</v>
      </c>
      <c r="E7" s="7">
        <v>2300</v>
      </c>
    </row>
    <row r="8" spans="1:7" x14ac:dyDescent="0.35">
      <c r="B8" s="5"/>
      <c r="D8" s="4">
        <v>4.4999999999999998E-2</v>
      </c>
      <c r="E8" s="7">
        <v>22300</v>
      </c>
    </row>
    <row r="9" spans="1:7" x14ac:dyDescent="0.35">
      <c r="A9" t="s">
        <v>8</v>
      </c>
      <c r="B9" s="5"/>
      <c r="D9" s="4">
        <v>0.05</v>
      </c>
      <c r="E9" s="7">
        <v>42300</v>
      </c>
    </row>
    <row r="10" spans="1:7" x14ac:dyDescent="0.35">
      <c r="A10" t="s">
        <v>9</v>
      </c>
      <c r="B10" s="5">
        <v>40</v>
      </c>
      <c r="D10" s="4">
        <v>5.5E-2</v>
      </c>
      <c r="E10" s="7">
        <v>62300</v>
      </c>
    </row>
    <row r="11" spans="1:7" x14ac:dyDescent="0.35">
      <c r="A11" t="s">
        <v>10</v>
      </c>
      <c r="B11" s="5">
        <f>B6*B10</f>
        <v>140000.00000000003</v>
      </c>
      <c r="C11" t="str">
        <f ca="1">_xlfn.FORMULATEXT(B11)</f>
        <v>=B6*B10</v>
      </c>
      <c r="D11" s="4">
        <v>0.06</v>
      </c>
      <c r="E11" s="7">
        <v>82300</v>
      </c>
    </row>
    <row r="12" spans="1:7" x14ac:dyDescent="0.35">
      <c r="A12" t="s">
        <v>12</v>
      </c>
      <c r="B12" s="5">
        <f>B11-B2</f>
        <v>-17699.999999999971</v>
      </c>
      <c r="D12" s="4">
        <v>6.5000000000000002E-2</v>
      </c>
      <c r="E12" s="7">
        <v>102300</v>
      </c>
    </row>
    <row r="13" spans="1:7" x14ac:dyDescent="0.35">
      <c r="D13" s="4">
        <v>7.0000000000000007E-2</v>
      </c>
      <c r="E13" s="7">
        <v>122300.00000000006</v>
      </c>
    </row>
    <row r="14" spans="1:7" x14ac:dyDescent="0.35">
      <c r="D14" s="4">
        <v>7.4999999999999997E-2</v>
      </c>
      <c r="E14" s="7">
        <v>142300</v>
      </c>
    </row>
    <row r="15" spans="1:7" x14ac:dyDescent="0.35">
      <c r="D15" s="4">
        <v>0.08</v>
      </c>
      <c r="E15" s="7">
        <v>162300</v>
      </c>
    </row>
    <row r="18" spans="1:9" x14ac:dyDescent="0.35">
      <c r="A18" t="s">
        <v>11</v>
      </c>
      <c r="B18" s="5">
        <v>157700</v>
      </c>
    </row>
    <row r="19" spans="1:9" x14ac:dyDescent="0.35">
      <c r="B19" s="5"/>
      <c r="D19" t="s">
        <v>13</v>
      </c>
      <c r="G19" t="s">
        <v>21</v>
      </c>
      <c r="H19">
        <v>500</v>
      </c>
    </row>
    <row r="20" spans="1:9" x14ac:dyDescent="0.35">
      <c r="A20" t="s">
        <v>5</v>
      </c>
      <c r="B20" s="5">
        <v>100000</v>
      </c>
      <c r="E20" s="7">
        <f>B28</f>
        <v>0</v>
      </c>
    </row>
    <row r="21" spans="1:9" x14ac:dyDescent="0.35">
      <c r="A21" t="s">
        <v>6</v>
      </c>
      <c r="B21" s="6">
        <v>3.9425000000000002E-2</v>
      </c>
      <c r="D21" s="4">
        <v>0.03</v>
      </c>
      <c r="E21" s="7">
        <v>-37700</v>
      </c>
      <c r="G21" t="s">
        <v>22</v>
      </c>
      <c r="H21">
        <v>100</v>
      </c>
    </row>
    <row r="22" spans="1:9" x14ac:dyDescent="0.35">
      <c r="A22" t="s">
        <v>7</v>
      </c>
      <c r="B22" s="5">
        <f>B20*B21</f>
        <v>3942.5</v>
      </c>
      <c r="D22" s="4">
        <v>3.5000000000000003E-2</v>
      </c>
      <c r="E22" s="7">
        <v>-17699.999999999971</v>
      </c>
      <c r="G22" t="s">
        <v>23</v>
      </c>
      <c r="H22">
        <v>4.5</v>
      </c>
    </row>
    <row r="23" spans="1:9" x14ac:dyDescent="0.35">
      <c r="B23" s="5"/>
      <c r="D23" s="4">
        <v>0.04</v>
      </c>
      <c r="E23" s="7">
        <v>2300</v>
      </c>
      <c r="G23" t="s">
        <v>14</v>
      </c>
      <c r="H23">
        <f>H21*H22</f>
        <v>450</v>
      </c>
      <c r="I23" t="str">
        <f ca="1">_xlfn.FORMULATEXT(H23)</f>
        <v>=H21*H22</v>
      </c>
    </row>
    <row r="24" spans="1:9" x14ac:dyDescent="0.35">
      <c r="B24" s="5"/>
      <c r="D24" s="4">
        <v>4.4999999999999998E-2</v>
      </c>
      <c r="E24" s="7">
        <v>22300</v>
      </c>
      <c r="G24" t="s">
        <v>14</v>
      </c>
      <c r="H24" t="s">
        <v>14</v>
      </c>
    </row>
    <row r="25" spans="1:9" x14ac:dyDescent="0.35">
      <c r="A25" t="s">
        <v>8</v>
      </c>
      <c r="B25" s="5"/>
      <c r="D25" s="4">
        <v>0.05</v>
      </c>
      <c r="E25" s="7">
        <v>42300</v>
      </c>
    </row>
    <row r="26" spans="1:9" x14ac:dyDescent="0.35">
      <c r="A26" t="s">
        <v>9</v>
      </c>
      <c r="B26" s="5">
        <v>40</v>
      </c>
      <c r="D26" s="4">
        <v>5.5E-2</v>
      </c>
      <c r="E26" s="7">
        <v>62300</v>
      </c>
    </row>
    <row r="27" spans="1:9" x14ac:dyDescent="0.35">
      <c r="A27" t="s">
        <v>10</v>
      </c>
      <c r="B27" s="5">
        <f>B22*B26</f>
        <v>157700</v>
      </c>
      <c r="C27" t="str">
        <f ca="1">_xlfn.FORMULATEXT(B27)</f>
        <v>=B22*B26</v>
      </c>
      <c r="D27" s="4">
        <v>0.06</v>
      </c>
      <c r="E27" s="7">
        <v>82300</v>
      </c>
    </row>
    <row r="28" spans="1:9" x14ac:dyDescent="0.35">
      <c r="A28" t="s">
        <v>12</v>
      </c>
      <c r="B28" s="5">
        <f>B27-B18</f>
        <v>0</v>
      </c>
      <c r="D28" s="4">
        <v>6.5000000000000002E-2</v>
      </c>
      <c r="E28" s="7">
        <v>102300</v>
      </c>
    </row>
    <row r="29" spans="1:9" x14ac:dyDescent="0.35">
      <c r="D29" s="4">
        <v>7.0000000000000007E-2</v>
      </c>
      <c r="E29" s="7">
        <v>122300.00000000006</v>
      </c>
    </row>
    <row r="30" spans="1:9" x14ac:dyDescent="0.35">
      <c r="D30" s="4">
        <v>7.4999999999999997E-2</v>
      </c>
      <c r="E30" s="7">
        <v>142300</v>
      </c>
    </row>
    <row r="31" spans="1:9" x14ac:dyDescent="0.35">
      <c r="D31" s="4">
        <v>0.08</v>
      </c>
      <c r="E31" s="7">
        <v>162300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A53C0-D6A3-4D8A-8091-5C7A8CD131FB}">
  <dimension ref="A2:N30"/>
  <sheetViews>
    <sheetView topLeftCell="A13" zoomScale="55" zoomScaleNormal="55" workbookViewId="0">
      <selection activeCell="M14" sqref="M14"/>
    </sheetView>
  </sheetViews>
  <sheetFormatPr defaultRowHeight="14.5" x14ac:dyDescent="0.35"/>
  <cols>
    <col min="1" max="1" width="19.7265625" bestFit="1" customWidth="1"/>
    <col min="3" max="3" width="31.1796875" bestFit="1" customWidth="1"/>
    <col min="4" max="5" width="12.7265625" customWidth="1"/>
    <col min="14" max="14" width="3.54296875" customWidth="1"/>
  </cols>
  <sheetData>
    <row r="2" spans="1:5" x14ac:dyDescent="0.35">
      <c r="A2" s="11" t="s">
        <v>24</v>
      </c>
      <c r="B2" s="11">
        <v>30</v>
      </c>
    </row>
    <row r="3" spans="1:5" x14ac:dyDescent="0.35">
      <c r="A3" s="11" t="s">
        <v>25</v>
      </c>
      <c r="B3" s="11">
        <v>10</v>
      </c>
    </row>
    <row r="5" spans="1:5" x14ac:dyDescent="0.35">
      <c r="D5" s="11" t="s">
        <v>29</v>
      </c>
      <c r="E5" s="11"/>
    </row>
    <row r="6" spans="1:5" x14ac:dyDescent="0.35">
      <c r="D6" s="11" t="s">
        <v>30</v>
      </c>
      <c r="E6" s="11" t="s">
        <v>31</v>
      </c>
    </row>
    <row r="7" spans="1:5" x14ac:dyDescent="0.35">
      <c r="D7" s="11">
        <v>0</v>
      </c>
      <c r="E7" s="11">
        <v>24</v>
      </c>
    </row>
    <row r="8" spans="1:5" x14ac:dyDescent="0.35">
      <c r="D8" s="11">
        <v>1000</v>
      </c>
      <c r="E8" s="11">
        <v>23</v>
      </c>
    </row>
    <row r="9" spans="1:5" x14ac:dyDescent="0.35">
      <c r="A9" s="11" t="s">
        <v>26</v>
      </c>
      <c r="B9" s="11">
        <v>500</v>
      </c>
      <c r="C9" s="11" t="s">
        <v>35</v>
      </c>
      <c r="D9" s="12">
        <v>2000</v>
      </c>
      <c r="E9" s="11">
        <v>22.25</v>
      </c>
    </row>
    <row r="10" spans="1:5" x14ac:dyDescent="0.35">
      <c r="A10" s="11" t="s">
        <v>27</v>
      </c>
      <c r="B10" s="13">
        <v>500</v>
      </c>
      <c r="C10" s="11"/>
      <c r="D10" s="12">
        <v>3000</v>
      </c>
      <c r="E10" s="11">
        <v>21.75</v>
      </c>
    </row>
    <row r="11" spans="1:5" x14ac:dyDescent="0.35">
      <c r="A11" s="11" t="s">
        <v>28</v>
      </c>
      <c r="B11" s="14">
        <f>MAX(B10-B9,0)</f>
        <v>0</v>
      </c>
      <c r="C11" s="11" t="str">
        <f ca="1">_xlfn.FORMULATEXT(B11)</f>
        <v>=MAX(B10-B9,0)</v>
      </c>
      <c r="D11" s="12">
        <v>4000</v>
      </c>
      <c r="E11" s="11">
        <v>21.3</v>
      </c>
    </row>
    <row r="12" spans="1:5" x14ac:dyDescent="0.35">
      <c r="A12" s="11" t="s">
        <v>32</v>
      </c>
      <c r="B12" s="11">
        <f>IF(B9&gt;B10,0,B10-B9)</f>
        <v>0</v>
      </c>
      <c r="C12" s="11" t="str">
        <f ca="1">_xlfn.FORMULATEXT(B12)</f>
        <v>=IF(B9&gt;B10,0,B10-B9)</v>
      </c>
    </row>
    <row r="15" spans="1:5" x14ac:dyDescent="0.35">
      <c r="A15" t="s">
        <v>33</v>
      </c>
      <c r="B15">
        <f>VLOOKUP(B10,D6:E11,2,TRUE)*B10</f>
        <v>12000</v>
      </c>
      <c r="C15" t="str">
        <f ca="1">_xlfn.FORMULATEXT(B15)</f>
        <v>=VLOOKUP(B10,D6:E11,2,TRUE)*B10</v>
      </c>
    </row>
    <row r="17" spans="1:14" x14ac:dyDescent="0.35">
      <c r="A17" t="s">
        <v>8</v>
      </c>
      <c r="B17">
        <f>MIN(B9:B10)*B2+(B11*B3)</f>
        <v>15000</v>
      </c>
      <c r="C17" t="str">
        <f ca="1">_xlfn.FORMULATEXT(B17)</f>
        <v>=MIN(B9:B10)*B2+(B11*B3)</v>
      </c>
      <c r="D17" t="s">
        <v>34</v>
      </c>
    </row>
    <row r="19" spans="1:14" x14ac:dyDescent="0.35">
      <c r="A19" t="s">
        <v>12</v>
      </c>
      <c r="B19">
        <f>B17-B15</f>
        <v>3000</v>
      </c>
      <c r="C19" t="str">
        <f ca="1">_xlfn.FORMULATEXT(B19)</f>
        <v>=B17-B15</v>
      </c>
    </row>
    <row r="20" spans="1:14" x14ac:dyDescent="0.35">
      <c r="D20" s="31" t="s">
        <v>26</v>
      </c>
      <c r="E20" s="31"/>
      <c r="F20" s="31"/>
      <c r="G20" s="31"/>
      <c r="H20" s="31"/>
      <c r="I20" s="31"/>
      <c r="J20" s="31"/>
      <c r="K20" s="31"/>
      <c r="L20" s="31"/>
      <c r="M20" s="31"/>
    </row>
    <row r="21" spans="1:14" x14ac:dyDescent="0.35">
      <c r="D21" s="15">
        <f>B19</f>
        <v>3000</v>
      </c>
      <c r="E21" s="11">
        <v>500</v>
      </c>
      <c r="F21" s="11">
        <v>1000</v>
      </c>
      <c r="G21" s="11">
        <v>1500</v>
      </c>
      <c r="H21" s="11">
        <v>2000</v>
      </c>
      <c r="I21" s="11">
        <v>2500</v>
      </c>
      <c r="J21" s="11">
        <v>3000</v>
      </c>
      <c r="K21" s="11">
        <v>3500</v>
      </c>
      <c r="L21" s="11">
        <v>4000</v>
      </c>
      <c r="M21" s="11">
        <v>4500</v>
      </c>
      <c r="N21" s="32" t="s">
        <v>27</v>
      </c>
    </row>
    <row r="22" spans="1:14" x14ac:dyDescent="0.35">
      <c r="D22" s="11">
        <v>500</v>
      </c>
      <c r="E22" s="11">
        <f t="dataTable" ref="E22:M30" dt2D="1" dtr="1" r1="B9" r2="B10"/>
        <v>3000</v>
      </c>
      <c r="F22" s="11">
        <v>3000</v>
      </c>
      <c r="G22" s="11">
        <v>3000</v>
      </c>
      <c r="H22" s="11">
        <v>3000</v>
      </c>
      <c r="I22" s="11">
        <v>3000</v>
      </c>
      <c r="J22" s="11">
        <v>3000</v>
      </c>
      <c r="K22" s="11">
        <v>3000</v>
      </c>
      <c r="L22" s="11">
        <v>3000</v>
      </c>
      <c r="M22" s="11">
        <v>3000</v>
      </c>
      <c r="N22" s="33"/>
    </row>
    <row r="23" spans="1:14" x14ac:dyDescent="0.35">
      <c r="D23" s="11">
        <v>1000</v>
      </c>
      <c r="E23" s="11">
        <v>-3000</v>
      </c>
      <c r="F23" s="11">
        <v>7000</v>
      </c>
      <c r="G23" s="11">
        <v>7000</v>
      </c>
      <c r="H23" s="11">
        <v>7000</v>
      </c>
      <c r="I23" s="11">
        <v>7000</v>
      </c>
      <c r="J23" s="11">
        <v>7000</v>
      </c>
      <c r="K23" s="11">
        <v>7000</v>
      </c>
      <c r="L23" s="11">
        <v>7000</v>
      </c>
      <c r="M23" s="11">
        <v>7000</v>
      </c>
      <c r="N23" s="33"/>
    </row>
    <row r="24" spans="1:14" x14ac:dyDescent="0.35">
      <c r="D24" s="11">
        <v>1500</v>
      </c>
      <c r="E24" s="11">
        <v>-9500</v>
      </c>
      <c r="F24" s="11">
        <v>500</v>
      </c>
      <c r="G24" s="11">
        <v>10500</v>
      </c>
      <c r="H24" s="11">
        <v>10500</v>
      </c>
      <c r="I24" s="11">
        <v>10500</v>
      </c>
      <c r="J24" s="11">
        <v>10500</v>
      </c>
      <c r="K24" s="11">
        <v>10500</v>
      </c>
      <c r="L24" s="11">
        <v>10500</v>
      </c>
      <c r="M24" s="11">
        <v>10500</v>
      </c>
      <c r="N24" s="33"/>
    </row>
    <row r="25" spans="1:14" x14ac:dyDescent="0.35">
      <c r="D25" s="11">
        <v>2000</v>
      </c>
      <c r="E25" s="11">
        <v>-14500</v>
      </c>
      <c r="F25" s="11">
        <v>-4500</v>
      </c>
      <c r="G25" s="11">
        <v>5500</v>
      </c>
      <c r="H25" s="11">
        <v>15500</v>
      </c>
      <c r="I25" s="11">
        <v>15500</v>
      </c>
      <c r="J25" s="11">
        <v>15500</v>
      </c>
      <c r="K25" s="11">
        <v>15500</v>
      </c>
      <c r="L25" s="11">
        <v>15500</v>
      </c>
      <c r="M25" s="11">
        <v>15500</v>
      </c>
      <c r="N25" s="33"/>
    </row>
    <row r="26" spans="1:14" x14ac:dyDescent="0.35">
      <c r="D26" s="11">
        <v>2500</v>
      </c>
      <c r="E26" s="11">
        <v>-20625</v>
      </c>
      <c r="F26" s="11">
        <v>-10625</v>
      </c>
      <c r="G26" s="11">
        <v>-625</v>
      </c>
      <c r="H26" s="11">
        <v>9375</v>
      </c>
      <c r="I26" s="11">
        <v>19375</v>
      </c>
      <c r="J26" s="11">
        <v>19375</v>
      </c>
      <c r="K26" s="11">
        <v>19375</v>
      </c>
      <c r="L26" s="11">
        <v>19375</v>
      </c>
      <c r="M26" s="11">
        <v>19375</v>
      </c>
      <c r="N26" s="33"/>
    </row>
    <row r="27" spans="1:14" x14ac:dyDescent="0.35">
      <c r="D27" s="11">
        <v>3000</v>
      </c>
      <c r="E27" s="11">
        <v>-25250</v>
      </c>
      <c r="F27" s="11">
        <v>-15250</v>
      </c>
      <c r="G27" s="11">
        <v>-5250</v>
      </c>
      <c r="H27" s="11">
        <v>4750</v>
      </c>
      <c r="I27" s="11">
        <v>14750</v>
      </c>
      <c r="J27" s="11">
        <v>24750</v>
      </c>
      <c r="K27" s="11">
        <v>24750</v>
      </c>
      <c r="L27" s="11">
        <v>24750</v>
      </c>
      <c r="M27" s="11">
        <v>24750</v>
      </c>
      <c r="N27" s="33"/>
    </row>
    <row r="28" spans="1:14" x14ac:dyDescent="0.35">
      <c r="D28" s="11">
        <v>3500</v>
      </c>
      <c r="E28" s="11">
        <v>-31125</v>
      </c>
      <c r="F28" s="11">
        <v>-21125</v>
      </c>
      <c r="G28" s="11">
        <v>-11125</v>
      </c>
      <c r="H28" s="11">
        <v>-1125</v>
      </c>
      <c r="I28" s="11">
        <v>8875</v>
      </c>
      <c r="J28" s="11">
        <v>18875</v>
      </c>
      <c r="K28" s="11">
        <v>28875</v>
      </c>
      <c r="L28" s="11">
        <v>28875</v>
      </c>
      <c r="M28" s="11">
        <v>28875</v>
      </c>
      <c r="N28" s="33"/>
    </row>
    <row r="29" spans="1:14" x14ac:dyDescent="0.35">
      <c r="D29" s="11">
        <v>4000</v>
      </c>
      <c r="E29" s="11">
        <v>-35200</v>
      </c>
      <c r="F29" s="11">
        <v>-25200</v>
      </c>
      <c r="G29" s="11">
        <v>-15200</v>
      </c>
      <c r="H29" s="11">
        <v>-5200</v>
      </c>
      <c r="I29" s="11">
        <v>4800</v>
      </c>
      <c r="J29" s="11">
        <v>14800</v>
      </c>
      <c r="K29" s="11">
        <v>24800</v>
      </c>
      <c r="L29" s="11">
        <v>34800</v>
      </c>
      <c r="M29" s="11">
        <v>34800</v>
      </c>
      <c r="N29" s="33"/>
    </row>
    <row r="30" spans="1:14" x14ac:dyDescent="0.35">
      <c r="D30" s="11">
        <v>4500</v>
      </c>
      <c r="E30" s="11">
        <v>-40850</v>
      </c>
      <c r="F30" s="11">
        <v>-30850</v>
      </c>
      <c r="G30" s="11">
        <v>-20850</v>
      </c>
      <c r="H30" s="11">
        <v>-10850</v>
      </c>
      <c r="I30" s="11">
        <v>-850</v>
      </c>
      <c r="J30" s="11">
        <v>9150</v>
      </c>
      <c r="K30" s="11">
        <v>19150</v>
      </c>
      <c r="L30" s="11">
        <v>29150</v>
      </c>
      <c r="M30" s="11">
        <v>39150</v>
      </c>
      <c r="N30" s="33"/>
    </row>
  </sheetData>
  <mergeCells count="2">
    <mergeCell ref="D20:M20"/>
    <mergeCell ref="N21:N3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862EC-7F66-4324-BDFE-4961FA36DA87}">
  <dimension ref="A2:G23"/>
  <sheetViews>
    <sheetView zoomScale="70" zoomScaleNormal="70" workbookViewId="0">
      <selection activeCell="G20" sqref="G20"/>
    </sheetView>
  </sheetViews>
  <sheetFormatPr defaultRowHeight="14.5" x14ac:dyDescent="0.35"/>
  <cols>
    <col min="1" max="1" width="20.6328125" customWidth="1"/>
    <col min="3" max="3" width="28.453125" bestFit="1" customWidth="1"/>
    <col min="4" max="4" width="12.08984375" customWidth="1"/>
    <col min="5" max="5" width="12.08984375" bestFit="1" customWidth="1"/>
    <col min="6" max="6" width="43" customWidth="1"/>
    <col min="7" max="8" width="28.453125" customWidth="1"/>
  </cols>
  <sheetData>
    <row r="2" spans="1:7" x14ac:dyDescent="0.35">
      <c r="D2" t="s">
        <v>40</v>
      </c>
    </row>
    <row r="3" spans="1:7" x14ac:dyDescent="0.35">
      <c r="A3" t="s">
        <v>52</v>
      </c>
      <c r="B3">
        <v>9.3000000000000007</v>
      </c>
      <c r="C3" t="s">
        <v>38</v>
      </c>
      <c r="D3" t="s">
        <v>45</v>
      </c>
      <c r="E3" t="s">
        <v>46</v>
      </c>
    </row>
    <row r="4" spans="1:7" x14ac:dyDescent="0.35">
      <c r="A4" t="s">
        <v>36</v>
      </c>
      <c r="B4">
        <v>20</v>
      </c>
      <c r="C4" t="s">
        <v>37</v>
      </c>
      <c r="D4">
        <v>1</v>
      </c>
      <c r="E4">
        <f>B5</f>
        <v>1.2</v>
      </c>
      <c r="F4" t="str">
        <f ca="1">_xlfn.FORMULATEXT(E4)</f>
        <v>=B5</v>
      </c>
      <c r="G4" s="17" t="s">
        <v>42</v>
      </c>
    </row>
    <row r="5" spans="1:7" x14ac:dyDescent="0.35">
      <c r="A5" t="s">
        <v>51</v>
      </c>
      <c r="B5">
        <v>1.2</v>
      </c>
      <c r="C5" t="s">
        <v>38</v>
      </c>
      <c r="D5">
        <v>2</v>
      </c>
      <c r="E5" s="19">
        <f t="shared" ref="E5:E23" si="0">IF(D5&lt;$B$6,(E4*(1+$B$7)),E4*(1-$B$8))</f>
        <v>1.32</v>
      </c>
      <c r="F5" t="str">
        <f t="shared" ref="F5:F23" ca="1" si="1">_xlfn.FORMULATEXT(E5)</f>
        <v>=IF(D5&lt;$B$6,(E4*(1+$B$7)),E4*(1-$B$8))</v>
      </c>
      <c r="G5" s="18" t="s">
        <v>41</v>
      </c>
    </row>
    <row r="6" spans="1:7" x14ac:dyDescent="0.35">
      <c r="A6" t="s">
        <v>39</v>
      </c>
      <c r="B6">
        <v>8</v>
      </c>
      <c r="C6" t="s">
        <v>14</v>
      </c>
      <c r="D6">
        <v>3</v>
      </c>
      <c r="E6" s="19">
        <f t="shared" si="0"/>
        <v>1.4520000000000002</v>
      </c>
      <c r="F6" t="str">
        <f t="shared" ca="1" si="1"/>
        <v>=IF(D6&lt;$B$6,(E5*(1+$B$7)),E5*(1-$B$8))</v>
      </c>
      <c r="G6" s="17" t="s">
        <v>43</v>
      </c>
    </row>
    <row r="7" spans="1:7" x14ac:dyDescent="0.35">
      <c r="A7" t="s">
        <v>48</v>
      </c>
      <c r="B7" s="1">
        <v>0.1</v>
      </c>
      <c r="D7">
        <v>4</v>
      </c>
      <c r="E7" s="19">
        <f t="shared" si="0"/>
        <v>1.5972000000000004</v>
      </c>
      <c r="F7" t="str">
        <f t="shared" ca="1" si="1"/>
        <v>=IF(D7&lt;$B$6,(E6*(1+$B$7)),E6*(1-$B$8))</v>
      </c>
    </row>
    <row r="8" spans="1:7" x14ac:dyDescent="0.35">
      <c r="A8" t="s">
        <v>49</v>
      </c>
      <c r="B8" s="1">
        <v>0.05</v>
      </c>
      <c r="D8">
        <v>5</v>
      </c>
      <c r="E8" s="19">
        <f t="shared" si="0"/>
        <v>1.7569200000000005</v>
      </c>
      <c r="F8" t="str">
        <f t="shared" ca="1" si="1"/>
        <v>=IF(D8&lt;$B$6,(E7*(1+$B$7)),E7*(1-$B$8))</v>
      </c>
    </row>
    <row r="9" spans="1:7" x14ac:dyDescent="0.35">
      <c r="A9" t="s">
        <v>50</v>
      </c>
      <c r="B9" s="1">
        <v>0.12</v>
      </c>
      <c r="D9">
        <v>6</v>
      </c>
      <c r="E9" s="19">
        <f t="shared" si="0"/>
        <v>1.9326120000000007</v>
      </c>
      <c r="F9" t="str">
        <f t="shared" ca="1" si="1"/>
        <v>=IF(D9&lt;$B$6,(E8*(1+$B$7)),E8*(1-$B$8))</v>
      </c>
    </row>
    <row r="10" spans="1:7" x14ac:dyDescent="0.35">
      <c r="D10">
        <v>7</v>
      </c>
      <c r="E10" s="19">
        <f t="shared" si="0"/>
        <v>2.1258732000000009</v>
      </c>
      <c r="F10" t="str">
        <f t="shared" ca="1" si="1"/>
        <v>=IF(D10&lt;$B$6,(E9*(1+$B$7)),E9*(1-$B$8))</v>
      </c>
    </row>
    <row r="11" spans="1:7" x14ac:dyDescent="0.35">
      <c r="D11">
        <v>8</v>
      </c>
      <c r="E11" s="19">
        <f t="shared" si="0"/>
        <v>2.019579540000001</v>
      </c>
      <c r="F11" t="str">
        <f t="shared" ca="1" si="1"/>
        <v>=IF(D11&lt;$B$6,(E10*(1+$B$7)),E10*(1-$B$8))</v>
      </c>
    </row>
    <row r="12" spans="1:7" x14ac:dyDescent="0.35">
      <c r="A12" t="s">
        <v>44</v>
      </c>
      <c r="B12" s="2">
        <f>NPV(B9,E4:E23)</f>
        <v>11.851609399230441</v>
      </c>
      <c r="C12" t="str">
        <f ca="1">_xlfn.FORMULATEXT(B12)</f>
        <v>=NPV(B9,E4:E23)</v>
      </c>
      <c r="D12">
        <v>9</v>
      </c>
      <c r="E12" s="19">
        <f t="shared" si="0"/>
        <v>1.9186005630000007</v>
      </c>
      <c r="F12" t="str">
        <f t="shared" ca="1" si="1"/>
        <v>=IF(D12&lt;$B$6,(E11*(1+$B$7)),E11*(1-$B$8))</v>
      </c>
    </row>
    <row r="13" spans="1:7" x14ac:dyDescent="0.35">
      <c r="A13" t="str">
        <f>A3</f>
        <v>Development Cost</v>
      </c>
      <c r="B13">
        <f>B3</f>
        <v>9.3000000000000007</v>
      </c>
      <c r="C13" t="str">
        <f ca="1">_xlfn.FORMULATEXT(B13)</f>
        <v>=B3</v>
      </c>
      <c r="D13">
        <v>10</v>
      </c>
      <c r="E13" s="19">
        <f t="shared" si="0"/>
        <v>1.8226705348500005</v>
      </c>
      <c r="F13" t="str">
        <f t="shared" ca="1" si="1"/>
        <v>=IF(D13&lt;$B$6,(E12*(1+$B$7)),E12*(1-$B$8))</v>
      </c>
    </row>
    <row r="14" spans="1:7" x14ac:dyDescent="0.35">
      <c r="D14">
        <v>11</v>
      </c>
      <c r="E14" s="19">
        <f t="shared" si="0"/>
        <v>1.7315370081075003</v>
      </c>
      <c r="F14" t="str">
        <f t="shared" ca="1" si="1"/>
        <v>=IF(D14&lt;$B$6,(E13*(1+$B$7)),E13*(1-$B$8))</v>
      </c>
    </row>
    <row r="15" spans="1:7" x14ac:dyDescent="0.35">
      <c r="B15" s="2">
        <f>B12-B13</f>
        <v>2.5516093992304398</v>
      </c>
      <c r="C15" t="s">
        <v>47</v>
      </c>
      <c r="D15">
        <v>12</v>
      </c>
      <c r="E15" s="19">
        <f t="shared" si="0"/>
        <v>1.6449601577021253</v>
      </c>
      <c r="F15" t="str">
        <f t="shared" ca="1" si="1"/>
        <v>=IF(D15&lt;$B$6,(E14*(1+$B$7)),E14*(1-$B$8))</v>
      </c>
    </row>
    <row r="16" spans="1:7" x14ac:dyDescent="0.35">
      <c r="D16">
        <v>13</v>
      </c>
      <c r="E16" s="19">
        <f t="shared" si="0"/>
        <v>1.5627121498170189</v>
      </c>
      <c r="F16" t="str">
        <f t="shared" ca="1" si="1"/>
        <v>=IF(D16&lt;$B$6,(E15*(1+$B$7)),E15*(1-$B$8))</v>
      </c>
    </row>
    <row r="17" spans="4:6" x14ac:dyDescent="0.35">
      <c r="D17">
        <v>14</v>
      </c>
      <c r="E17" s="19">
        <f t="shared" si="0"/>
        <v>1.4845765423261679</v>
      </c>
      <c r="F17" t="str">
        <f t="shared" ca="1" si="1"/>
        <v>=IF(D17&lt;$B$6,(E16*(1+$B$7)),E16*(1-$B$8))</v>
      </c>
    </row>
    <row r="18" spans="4:6" x14ac:dyDescent="0.35">
      <c r="D18">
        <v>15</v>
      </c>
      <c r="E18" s="19">
        <f t="shared" si="0"/>
        <v>1.4103477152098594</v>
      </c>
      <c r="F18" t="str">
        <f t="shared" ca="1" si="1"/>
        <v>=IF(D18&lt;$B$6,(E17*(1+$B$7)),E17*(1-$B$8))</v>
      </c>
    </row>
    <row r="19" spans="4:6" x14ac:dyDescent="0.35">
      <c r="D19">
        <v>16</v>
      </c>
      <c r="E19" s="19">
        <f t="shared" si="0"/>
        <v>1.3398303294493663</v>
      </c>
      <c r="F19" t="str">
        <f t="shared" ca="1" si="1"/>
        <v>=IF(D19&lt;$B$6,(E18*(1+$B$7)),E18*(1-$B$8))</v>
      </c>
    </row>
    <row r="20" spans="4:6" x14ac:dyDescent="0.35">
      <c r="D20">
        <v>17</v>
      </c>
      <c r="E20" s="19">
        <f t="shared" si="0"/>
        <v>1.2728388129768979</v>
      </c>
      <c r="F20" t="str">
        <f t="shared" ca="1" si="1"/>
        <v>=IF(D20&lt;$B$6,(E19*(1+$B$7)),E19*(1-$B$8))</v>
      </c>
    </row>
    <row r="21" spans="4:6" x14ac:dyDescent="0.35">
      <c r="D21">
        <v>18</v>
      </c>
      <c r="E21" s="19">
        <f t="shared" si="0"/>
        <v>1.2091968723280531</v>
      </c>
      <c r="F21" t="str">
        <f t="shared" ca="1" si="1"/>
        <v>=IF(D21&lt;$B$6,(E20*(1+$B$7)),E20*(1-$B$8))</v>
      </c>
    </row>
    <row r="22" spans="4:6" x14ac:dyDescent="0.35">
      <c r="D22">
        <v>19</v>
      </c>
      <c r="E22" s="19">
        <f t="shared" si="0"/>
        <v>1.1487370287116503</v>
      </c>
      <c r="F22" t="str">
        <f t="shared" ca="1" si="1"/>
        <v>=IF(D22&lt;$B$6,(E21*(1+$B$7)),E21*(1-$B$8))</v>
      </c>
    </row>
    <row r="23" spans="4:6" x14ac:dyDescent="0.35">
      <c r="D23">
        <v>20</v>
      </c>
      <c r="E23" s="19">
        <f t="shared" si="0"/>
        <v>1.0913001772760678</v>
      </c>
      <c r="F23" t="str">
        <f t="shared" ca="1" si="1"/>
        <v>=IF(D23&lt;$B$6,(E22*(1+$B$7)),E22*(1-$B$8))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6455A-CBAE-4157-9584-4FB1989DFFC6}">
  <dimension ref="A1:G14"/>
  <sheetViews>
    <sheetView zoomScale="85" zoomScaleNormal="85" workbookViewId="0">
      <selection activeCell="F21" sqref="F21"/>
    </sheetView>
  </sheetViews>
  <sheetFormatPr defaultRowHeight="14.5" x14ac:dyDescent="0.35"/>
  <cols>
    <col min="1" max="1" width="25.36328125" customWidth="1"/>
    <col min="2" max="2" width="13.6328125" bestFit="1" customWidth="1"/>
    <col min="3" max="3" width="13.6328125" customWidth="1"/>
    <col min="4" max="4" width="14.6328125" bestFit="1" customWidth="1"/>
    <col min="6" max="6" width="8.7265625" customWidth="1"/>
  </cols>
  <sheetData>
    <row r="1" spans="1:7" x14ac:dyDescent="0.35">
      <c r="B1" s="20" t="s">
        <v>54</v>
      </c>
      <c r="C1" s="20" t="s">
        <v>55</v>
      </c>
    </row>
    <row r="2" spans="1:7" x14ac:dyDescent="0.35">
      <c r="A2" t="s">
        <v>53</v>
      </c>
      <c r="B2" s="21">
        <v>4</v>
      </c>
      <c r="C2" s="21">
        <v>5</v>
      </c>
      <c r="D2" s="21" t="s">
        <v>56</v>
      </c>
      <c r="E2" s="21"/>
      <c r="F2" s="21"/>
    </row>
    <row r="3" spans="1:7" x14ac:dyDescent="0.35">
      <c r="A3" t="s">
        <v>72</v>
      </c>
      <c r="B3" s="21">
        <v>3000</v>
      </c>
      <c r="C3" s="21">
        <v>7000</v>
      </c>
      <c r="D3" s="21" t="s">
        <v>65</v>
      </c>
      <c r="E3" s="21"/>
      <c r="F3" s="21"/>
    </row>
    <row r="4" spans="1:7" x14ac:dyDescent="0.35">
      <c r="B4" s="21"/>
      <c r="C4" s="21"/>
      <c r="D4" s="21"/>
      <c r="E4" s="21"/>
      <c r="F4" s="21"/>
    </row>
    <row r="5" spans="1:7" x14ac:dyDescent="0.35">
      <c r="A5" t="s">
        <v>58</v>
      </c>
      <c r="B5" s="21"/>
      <c r="C5" s="21"/>
      <c r="D5" s="21"/>
      <c r="E5" s="21"/>
      <c r="F5" s="21"/>
    </row>
    <row r="6" spans="1:7" x14ac:dyDescent="0.35">
      <c r="A6" s="20" t="s">
        <v>66</v>
      </c>
      <c r="B6" s="23">
        <f>SUMPRODUCT($B$2:$C$2,B3:C3)</f>
        <v>47000</v>
      </c>
      <c r="C6" s="21"/>
      <c r="D6" s="21"/>
      <c r="E6" s="21"/>
      <c r="F6" s="21"/>
    </row>
    <row r="7" spans="1:7" x14ac:dyDescent="0.35">
      <c r="B7" s="21"/>
      <c r="C7" s="21"/>
      <c r="D7" s="21" t="s">
        <v>63</v>
      </c>
      <c r="E7" s="21"/>
      <c r="F7" s="21"/>
    </row>
    <row r="8" spans="1:7" x14ac:dyDescent="0.35">
      <c r="A8" s="20" t="s">
        <v>57</v>
      </c>
      <c r="B8" s="21"/>
      <c r="C8" s="21"/>
      <c r="D8" s="21" t="s">
        <v>60</v>
      </c>
      <c r="E8" s="21" t="s">
        <v>61</v>
      </c>
      <c r="F8" s="21" t="s">
        <v>62</v>
      </c>
    </row>
    <row r="9" spans="1:7" x14ac:dyDescent="0.35">
      <c r="A9" t="s">
        <v>71</v>
      </c>
      <c r="B9" s="21">
        <v>200</v>
      </c>
      <c r="C9" s="21">
        <v>500</v>
      </c>
      <c r="D9" s="21">
        <f>SUMPRODUCT($B$2:$C$2,B9:C9)</f>
        <v>3300</v>
      </c>
      <c r="E9" s="21" t="s">
        <v>64</v>
      </c>
      <c r="F9" s="21">
        <v>40000</v>
      </c>
    </row>
    <row r="10" spans="1:7" x14ac:dyDescent="0.35">
      <c r="A10" t="s">
        <v>67</v>
      </c>
      <c r="B10" s="21">
        <v>1</v>
      </c>
      <c r="C10" s="21">
        <v>0</v>
      </c>
      <c r="D10" s="21">
        <f>SUMPRODUCT($B$2:$C$2,B10:C10)</f>
        <v>4</v>
      </c>
      <c r="E10" s="21" t="s">
        <v>69</v>
      </c>
      <c r="F10" s="21">
        <v>10</v>
      </c>
    </row>
    <row r="11" spans="1:7" x14ac:dyDescent="0.35">
      <c r="A11" t="s">
        <v>68</v>
      </c>
      <c r="B11" s="21">
        <v>0</v>
      </c>
      <c r="C11" s="21">
        <v>1</v>
      </c>
      <c r="D11" s="21">
        <f>SUMPRODUCT($B$2:$C$2,B11:C11)</f>
        <v>5</v>
      </c>
      <c r="E11" s="21" t="s">
        <v>69</v>
      </c>
      <c r="F11" s="21">
        <v>10</v>
      </c>
    </row>
    <row r="12" spans="1:7" x14ac:dyDescent="0.35">
      <c r="A12" t="s">
        <v>70</v>
      </c>
      <c r="B12" s="21">
        <v>1</v>
      </c>
      <c r="C12" s="21">
        <v>-1</v>
      </c>
      <c r="D12" s="21">
        <f>SUMPRODUCT($B$2:$C$2,B12:C12)</f>
        <v>-1</v>
      </c>
      <c r="E12" s="21" t="s">
        <v>69</v>
      </c>
      <c r="F12" s="21">
        <v>0</v>
      </c>
      <c r="G12">
        <v>0</v>
      </c>
    </row>
    <row r="13" spans="1:7" x14ac:dyDescent="0.35">
      <c r="B13" s="21"/>
      <c r="C13" s="21"/>
      <c r="D13" s="21"/>
      <c r="E13" s="21"/>
      <c r="F13" s="21"/>
    </row>
    <row r="14" spans="1:7" x14ac:dyDescent="0.35">
      <c r="A14" t="s">
        <v>73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D8A53-CC56-446F-B697-7ACE60EECF40}">
  <dimension ref="A1:F17"/>
  <sheetViews>
    <sheetView zoomScale="85" zoomScaleNormal="85" workbookViewId="0">
      <selection activeCell="H4" sqref="H4"/>
    </sheetView>
  </sheetViews>
  <sheetFormatPr defaultRowHeight="14.5" x14ac:dyDescent="0.35"/>
  <cols>
    <col min="1" max="1" width="15.26953125" bestFit="1" customWidth="1"/>
    <col min="2" max="2" width="16" customWidth="1"/>
    <col min="3" max="3" width="12.08984375" customWidth="1"/>
    <col min="4" max="4" width="11.90625" bestFit="1" customWidth="1"/>
  </cols>
  <sheetData>
    <row r="1" spans="1:6" x14ac:dyDescent="0.35">
      <c r="B1" s="20" t="s">
        <v>75</v>
      </c>
      <c r="C1" s="20" t="s">
        <v>76</v>
      </c>
    </row>
    <row r="2" spans="1:6" x14ac:dyDescent="0.35">
      <c r="A2" s="20" t="s">
        <v>53</v>
      </c>
      <c r="B2" s="21">
        <v>4</v>
      </c>
      <c r="C2" s="21">
        <v>5</v>
      </c>
      <c r="D2" s="21" t="s">
        <v>77</v>
      </c>
    </row>
    <row r="3" spans="1:6" x14ac:dyDescent="0.35">
      <c r="B3" s="21"/>
      <c r="C3" s="21"/>
      <c r="D3" s="21"/>
    </row>
    <row r="4" spans="1:6" x14ac:dyDescent="0.35">
      <c r="B4" s="21"/>
      <c r="C4" s="21"/>
      <c r="D4" s="21"/>
    </row>
    <row r="5" spans="1:6" x14ac:dyDescent="0.35">
      <c r="A5" s="20" t="s">
        <v>58</v>
      </c>
      <c r="B5" s="21"/>
      <c r="C5" s="21"/>
      <c r="D5" s="21"/>
    </row>
    <row r="6" spans="1:6" x14ac:dyDescent="0.35">
      <c r="A6" t="s">
        <v>81</v>
      </c>
      <c r="B6" s="21">
        <v>300</v>
      </c>
      <c r="C6" s="21">
        <v>450</v>
      </c>
      <c r="D6" s="24">
        <f>SUMPRODUCT(B2:C2,B6:C6)</f>
        <v>3450</v>
      </c>
    </row>
    <row r="7" spans="1:6" x14ac:dyDescent="0.35">
      <c r="A7" t="s">
        <v>33</v>
      </c>
      <c r="B7" s="21"/>
      <c r="C7" s="21"/>
      <c r="D7" s="24"/>
    </row>
    <row r="8" spans="1:6" x14ac:dyDescent="0.35">
      <c r="A8" s="22" t="s">
        <v>82</v>
      </c>
      <c r="B8" s="21">
        <v>150</v>
      </c>
      <c r="C8" s="21">
        <v>225</v>
      </c>
      <c r="D8" s="24">
        <f>SUMPRODUCT(B2:C2,B8:C8)</f>
        <v>1725</v>
      </c>
      <c r="E8" t="str">
        <f ca="1">_xlfn.FORMULATEXT(D8)</f>
        <v>=SUMPRODUCT(B2:C2,B8:C8)</v>
      </c>
    </row>
    <row r="9" spans="1:6" x14ac:dyDescent="0.35">
      <c r="A9" s="22" t="s">
        <v>84</v>
      </c>
      <c r="B9" s="21">
        <v>5</v>
      </c>
      <c r="C9" s="21">
        <v>6</v>
      </c>
      <c r="D9" s="24">
        <f>SUMPRODUCT($B$2:$C$2,B9:C9)*11</f>
        <v>550</v>
      </c>
      <c r="E9" t="str">
        <f ca="1">_xlfn.FORMULATEXT(D9)</f>
        <v>=SUMPRODUCT($B$2:$C$2,B9:C9)*11</v>
      </c>
    </row>
    <row r="10" spans="1:6" x14ac:dyDescent="0.35">
      <c r="A10" s="22" t="s">
        <v>85</v>
      </c>
      <c r="B10" s="21">
        <v>1</v>
      </c>
      <c r="C10" s="21">
        <v>2</v>
      </c>
      <c r="D10" s="24">
        <f>SUMPRODUCT($B$2:$C$2)*15</f>
        <v>135</v>
      </c>
      <c r="E10" t="str">
        <f ca="1">_xlfn.FORMULATEXT(D10)</f>
        <v>=SUMPRODUCT($B$2:$C$2)*15</v>
      </c>
    </row>
    <row r="11" spans="1:6" x14ac:dyDescent="0.35">
      <c r="A11" t="s">
        <v>12</v>
      </c>
      <c r="B11" s="21"/>
      <c r="C11" s="21"/>
      <c r="D11" s="25">
        <f>D6-D8-D9-D10</f>
        <v>1040</v>
      </c>
      <c r="E11" t="str">
        <f ca="1">_xlfn.FORMULATEXT(D11)</f>
        <v>=D6-D8-D9-D10</v>
      </c>
    </row>
    <row r="13" spans="1:6" x14ac:dyDescent="0.35">
      <c r="A13" s="20" t="s">
        <v>74</v>
      </c>
      <c r="D13" t="s">
        <v>60</v>
      </c>
      <c r="E13" t="s">
        <v>61</v>
      </c>
      <c r="F13" t="s">
        <v>62</v>
      </c>
    </row>
    <row r="14" spans="1:6" x14ac:dyDescent="0.35">
      <c r="A14" t="s">
        <v>78</v>
      </c>
      <c r="B14" s="21">
        <v>1</v>
      </c>
      <c r="C14" s="21"/>
      <c r="D14" s="21">
        <f>SUMPRODUCT($B$2:$C$2,B14:C14)</f>
        <v>4</v>
      </c>
      <c r="E14" s="21" t="s">
        <v>80</v>
      </c>
      <c r="F14" s="21">
        <v>600</v>
      </c>
    </row>
    <row r="15" spans="1:6" x14ac:dyDescent="0.35">
      <c r="A15" t="s">
        <v>79</v>
      </c>
      <c r="B15" s="21"/>
      <c r="C15" s="21">
        <v>1</v>
      </c>
      <c r="D15" s="21">
        <f>SUMPRODUCT($B$2:$C$2,B15:C15)</f>
        <v>5</v>
      </c>
      <c r="E15" s="21" t="s">
        <v>80</v>
      </c>
      <c r="F15" s="21">
        <v>1200</v>
      </c>
    </row>
    <row r="16" spans="1:6" x14ac:dyDescent="0.35">
      <c r="A16" t="s">
        <v>83</v>
      </c>
      <c r="B16" s="21">
        <v>5</v>
      </c>
      <c r="C16" s="21">
        <v>6</v>
      </c>
      <c r="D16" s="21">
        <f>SUMPRODUCT($B$2:$C$2,B16:C16)</f>
        <v>50</v>
      </c>
      <c r="E16" s="21" t="s">
        <v>80</v>
      </c>
      <c r="F16" s="21">
        <v>10000</v>
      </c>
    </row>
    <row r="17" spans="1:6" x14ac:dyDescent="0.35">
      <c r="A17" t="s">
        <v>86</v>
      </c>
      <c r="B17" s="21">
        <v>1</v>
      </c>
      <c r="C17" s="21">
        <v>2</v>
      </c>
      <c r="D17" s="21">
        <f>SUMPRODUCT($B$2:$C$2,B17:C17)</f>
        <v>14</v>
      </c>
      <c r="E17" s="21" t="s">
        <v>80</v>
      </c>
      <c r="F17" s="21">
        <v>3000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8EAD-AA02-4D49-9E8C-95EDBCADEE6D}">
  <dimension ref="A1:L18"/>
  <sheetViews>
    <sheetView tabSelected="1" zoomScale="70" zoomScaleNormal="70" workbookViewId="0">
      <selection activeCell="J20" sqref="J20"/>
    </sheetView>
  </sheetViews>
  <sheetFormatPr defaultRowHeight="14.5" x14ac:dyDescent="0.35"/>
  <cols>
    <col min="1" max="1" width="11.453125" customWidth="1"/>
    <col min="2" max="6" width="9.453125" customWidth="1"/>
    <col min="8" max="8" width="10.6328125" customWidth="1"/>
    <col min="9" max="9" width="10.26953125" customWidth="1"/>
  </cols>
  <sheetData>
    <row r="1" spans="1:12" ht="29" x14ac:dyDescent="0.35">
      <c r="B1" s="26" t="s">
        <v>94</v>
      </c>
      <c r="C1" s="26" t="s">
        <v>95</v>
      </c>
      <c r="D1" s="26" t="s">
        <v>96</v>
      </c>
      <c r="E1" s="26" t="s">
        <v>97</v>
      </c>
      <c r="F1" s="26" t="s">
        <v>98</v>
      </c>
    </row>
    <row r="2" spans="1:12" x14ac:dyDescent="0.35">
      <c r="A2" t="s">
        <v>53</v>
      </c>
      <c r="B2" s="29">
        <v>4</v>
      </c>
      <c r="C2" s="29">
        <v>4</v>
      </c>
      <c r="D2" s="29">
        <v>4</v>
      </c>
      <c r="E2" s="29">
        <v>4</v>
      </c>
      <c r="F2" s="29">
        <v>4</v>
      </c>
      <c r="G2" t="s">
        <v>89</v>
      </c>
      <c r="K2" s="20"/>
      <c r="L2" s="20"/>
    </row>
    <row r="3" spans="1:12" x14ac:dyDescent="0.35">
      <c r="A3" t="s">
        <v>90</v>
      </c>
      <c r="B3" s="30">
        <v>5.2999999999999999E-2</v>
      </c>
      <c r="C3" s="30">
        <v>6.8000000000000005E-2</v>
      </c>
      <c r="D3" s="30">
        <v>4.9000000000000002E-2</v>
      </c>
      <c r="E3" s="30">
        <v>8.4000000000000005E-2</v>
      </c>
      <c r="F3" s="30">
        <v>0.11799999999999999</v>
      </c>
    </row>
    <row r="8" spans="1:12" x14ac:dyDescent="0.35">
      <c r="A8" t="s">
        <v>87</v>
      </c>
    </row>
    <row r="9" spans="1:12" x14ac:dyDescent="0.35">
      <c r="A9" t="s">
        <v>88</v>
      </c>
      <c r="B9" s="27">
        <f>SUMPRODUCT(B2:F2,B3:F3)</f>
        <v>1.488</v>
      </c>
      <c r="C9" t="str">
        <f ca="1">_xlfn.FORMULATEXT(B9)</f>
        <v>=SUMPRODUCT(B2:F2,B3:F3)</v>
      </c>
    </row>
    <row r="14" spans="1:12" x14ac:dyDescent="0.35">
      <c r="A14" t="s">
        <v>74</v>
      </c>
      <c r="B14" s="21"/>
      <c r="C14" s="21"/>
      <c r="D14" s="21"/>
      <c r="E14" s="21"/>
      <c r="F14" s="21"/>
      <c r="G14" t="s">
        <v>60</v>
      </c>
      <c r="H14" t="s">
        <v>61</v>
      </c>
      <c r="I14" t="s">
        <v>62</v>
      </c>
    </row>
    <row r="15" spans="1:12" x14ac:dyDescent="0.35">
      <c r="A15" t="s">
        <v>59</v>
      </c>
      <c r="B15" s="21">
        <v>1</v>
      </c>
      <c r="C15" s="21">
        <v>1</v>
      </c>
      <c r="D15" s="21">
        <v>1</v>
      </c>
      <c r="E15" s="21">
        <v>1</v>
      </c>
      <c r="F15" s="21">
        <v>1</v>
      </c>
      <c r="G15" s="21">
        <f>SUMPRODUCT($B$2:$F$2,B15:F15)</f>
        <v>20</v>
      </c>
      <c r="H15" s="21" t="s">
        <v>80</v>
      </c>
      <c r="I15" s="29">
        <v>2500000</v>
      </c>
      <c r="K15" t="str">
        <f ca="1">_xlfn.FORMULATEXT(G15)</f>
        <v>=SUMPRODUCT($B$2:$F$2,B15:F15)</v>
      </c>
    </row>
    <row r="16" spans="1:12" x14ac:dyDescent="0.35">
      <c r="A16" t="s">
        <v>91</v>
      </c>
      <c r="B16" s="21">
        <v>1</v>
      </c>
      <c r="C16" s="21"/>
      <c r="D16" s="21"/>
      <c r="E16" s="21"/>
      <c r="F16" s="21"/>
      <c r="G16" s="21">
        <f>SUMPRODUCT($B$2:$F$2,B16:F16)</f>
        <v>4</v>
      </c>
      <c r="H16" s="21" t="s">
        <v>69</v>
      </c>
      <c r="I16" s="29">
        <f>20%*I15</f>
        <v>500000</v>
      </c>
      <c r="K16" t="str">
        <f ca="1">_xlfn.FORMULATEXT(G16)</f>
        <v>=SUMPRODUCT($B$2:$F$2,B16:F16)</v>
      </c>
    </row>
    <row r="17" spans="1:11" x14ac:dyDescent="0.35">
      <c r="A17" t="s">
        <v>92</v>
      </c>
      <c r="B17" s="21"/>
      <c r="C17" s="21">
        <v>1</v>
      </c>
      <c r="D17" s="21">
        <v>1</v>
      </c>
      <c r="E17" s="21">
        <v>1</v>
      </c>
      <c r="F17" s="21"/>
      <c r="G17" s="21">
        <f>SUMPRODUCT($B$2:$F$2,B17:F17)</f>
        <v>12</v>
      </c>
      <c r="H17" s="21" t="s">
        <v>69</v>
      </c>
      <c r="I17" s="29">
        <f>40%*I15</f>
        <v>1000000</v>
      </c>
      <c r="K17" t="str">
        <f ca="1">_xlfn.FORMULATEXT(G17)</f>
        <v>=SUMPRODUCT($B$2:$F$2,B17:F17)</v>
      </c>
    </row>
    <row r="18" spans="1:11" ht="43.5" x14ac:dyDescent="0.35">
      <c r="A18" s="26" t="s">
        <v>93</v>
      </c>
      <c r="B18" s="28">
        <v>-0.5</v>
      </c>
      <c r="C18" s="21"/>
      <c r="D18" s="21"/>
      <c r="E18" s="21"/>
      <c r="F18" s="21">
        <v>1</v>
      </c>
      <c r="G18" s="21">
        <f>SUMPRODUCT($B$2:$F$2,B18:F18)</f>
        <v>2</v>
      </c>
      <c r="H18" s="21" t="s">
        <v>80</v>
      </c>
      <c r="I18" s="21">
        <v>0</v>
      </c>
      <c r="K18" t="str">
        <f ca="1">_xlfn.FORMULATEXT(G18)</f>
        <v>=SUMPRODUCT($B$2:$F$2,B18:F18)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what-if-2</vt:lpstr>
      <vt:lpstr>what-if-3</vt:lpstr>
      <vt:lpstr>what-if-4</vt:lpstr>
      <vt:lpstr>NPV</vt:lpstr>
      <vt:lpstr>linearProg-1</vt:lpstr>
      <vt:lpstr>maximise-profit</vt:lpstr>
      <vt:lpstr>fund-allocation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Meenakshi Ganesh</dc:creator>
  <cp:lastModifiedBy>Meenakshi Ganesh</cp:lastModifiedBy>
  <dcterms:created xsi:type="dcterms:W3CDTF">2023-03-08T02:36:43Z</dcterms:created>
  <dcterms:modified xsi:type="dcterms:W3CDTF">2023-05-13T07:26:57Z</dcterms:modified>
</cp:coreProperties>
</file>